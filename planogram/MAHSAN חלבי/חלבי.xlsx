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sverdlik\Desktop\WORKSPACE\PLANOGRAM MAHSAN FORMULA\MAHSAN חלבי\"/>
    </mc:Choice>
  </mc:AlternateContent>
  <xr:revisionPtr revIDLastSave="0" documentId="8_{8ACA8B8E-BFFF-4B9C-B52F-E609F894E586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8" i="1" l="1"/>
  <c r="F88" i="1"/>
  <c r="K88" i="1"/>
</calcChain>
</file>

<file path=xl/sharedStrings.xml><?xml version="1.0" encoding="utf-8"?>
<sst xmlns="http://schemas.openxmlformats.org/spreadsheetml/2006/main" count="356" uniqueCount="193">
  <si>
    <t>תאור משפחה</t>
  </si>
  <si>
    <t>מק"ט</t>
  </si>
  <si>
    <t>תאור</t>
  </si>
  <si>
    <t>כמות מוצרים במלאי</t>
  </si>
  <si>
    <t>פעיל מק"ט</t>
  </si>
  <si>
    <t>מלאי KARTON</t>
  </si>
  <si>
    <t xml:space="preserve">מכר קרט. ממוצע ביום </t>
  </si>
  <si>
    <t>מלאי בטחון KARTON</t>
  </si>
  <si>
    <t>WEIGHT KARTON average per מק"ט</t>
  </si>
  <si>
    <t>כמות לקוחות שהזמנינו for -מכר- average per Date</t>
  </si>
  <si>
    <t>חלבי</t>
  </si>
  <si>
    <t>‭PRESIDENT תוניבג‬</t>
  </si>
  <si>
    <t>410000</t>
  </si>
  <si>
    <t>‭8) PRESIDENT)םרג180 ןמוש 15% תיעבט הצומח תנמש‬</t>
  </si>
  <si>
    <t>410001</t>
  </si>
  <si>
    <t>‭8) PRESIDENT)םרג180 ןמוש 20% תיעבט הצומח תנמש‬</t>
  </si>
  <si>
    <t>410002</t>
  </si>
  <si>
    <t>‭8) PRESIDENT)םרג300 ןמוש 15% תיעבט הצומח תנמש‬</t>
  </si>
  <si>
    <t>410003</t>
  </si>
  <si>
    <t>‭8) PRESIDENT)םרג300 ןמוש 20% תיעבט הצומח תנמש‬</t>
  </si>
  <si>
    <t>410004</t>
  </si>
  <si>
    <t>‭8) PRESIDENT)םרג300 ןמוש 30% תיעבט הצומח תנמש‬</t>
  </si>
  <si>
    <t>411000</t>
  </si>
  <si>
    <t>‭12) PRESIDENT)םרג220 ןמוש 5% גורובט‬</t>
  </si>
  <si>
    <t>411001</t>
  </si>
  <si>
    <t>‭9) PRESIDENT)םרג300 ןמוש 5% גורובט‬</t>
  </si>
  <si>
    <t>411500</t>
  </si>
  <si>
    <t>‭6)PRESIDENT)םרג180 ןמוש 24.5% תיסאלק תנמש תניבג‬</t>
  </si>
  <si>
    <t>412200</t>
  </si>
  <si>
    <t>‭24) PRESIDENT)םרג70 ןמוש 14.1% ימרק תכתומ הניבג‬</t>
  </si>
  <si>
    <t>412201</t>
  </si>
  <si>
    <t>‭24) PRESIDENT)םרג70 ןמוש 14% דנלוה תכתומ הניבג‬</t>
  </si>
  <si>
    <t>412202</t>
  </si>
  <si>
    <t>‭24) PRESIDENT)םרג70 ןמוש 14% הדואג תכתומ הניבג‬</t>
  </si>
  <si>
    <t>412500</t>
  </si>
  <si>
    <t>‭12) PRESIDENT)םרג150 ןמוש 18.3% ימרק תכתומ הניבג‬</t>
  </si>
  <si>
    <t>412501</t>
  </si>
  <si>
    <t>‭12) PRESIDENT)םרג150 ןמוש 17% הדואג תכתומ הניבג‬</t>
  </si>
  <si>
    <t>412502</t>
  </si>
  <si>
    <t>‭12) PRESIDENT)םרג150 ןמוש 17% םדסאמ תכתומ הניבג‬</t>
  </si>
  <si>
    <t>413000</t>
  </si>
  <si>
    <t>‭8) PRESIDENT) ןמוש 24.5% דנלוה הצחמל השק הניבג‬</t>
  </si>
  <si>
    <t>413001</t>
  </si>
  <si>
    <t>‭8) PRESIDENT) ןמוש 28.5% הדואג הצחמל השק הניבג‬</t>
  </si>
  <si>
    <t>413002</t>
  </si>
  <si>
    <t>‭8) PRESIDENT) ןמוש 28.5% רטיזליט הצחמל השק הניבג‬</t>
  </si>
  <si>
    <t>413200</t>
  </si>
  <si>
    <t>‭14) PRESIDENT)םרג160 ןמוש 24.5% דנלוה הצחמל השק הניבג‬</t>
  </si>
  <si>
    <t>413201</t>
  </si>
  <si>
    <t>‭14) PRESIDENT)םרג160 ןמוש 28.5% הדואג הצחמל השק הניבג‬</t>
  </si>
  <si>
    <t>413202</t>
  </si>
  <si>
    <t>‭14) PRESIDENT)םרג160 ןמוש 28.5% רטיזליט הצחמל השק הניבג‬</t>
  </si>
  <si>
    <t>413500</t>
  </si>
  <si>
    <t>‭14) PRESIDENT)ג135 ןמוש 24.5% דנלוה הצחמל השק הניבג תוסורפ‬</t>
  </si>
  <si>
    <t>413501</t>
  </si>
  <si>
    <t>‭14) PRESIDENT)ג135 ןמוש 28.5% הדואג הצחמל השק הניבג תוסורפ‬</t>
  </si>
  <si>
    <t>413502</t>
  </si>
  <si>
    <t>‭14) PRESIDENT)ג135 ןמוש28.5% רטיזליט הצחמל השק הניבג תוסורפ‬</t>
  </si>
  <si>
    <t>Total</t>
  </si>
  <si>
    <t>‭SVALIA האמח‬</t>
  </si>
  <si>
    <t>600</t>
  </si>
  <si>
    <t>‭(20) 'ג200 האמח‬</t>
  </si>
  <si>
    <t>601</t>
  </si>
  <si>
    <t>‭(20) 'ג200 הצומח האמח‬</t>
  </si>
  <si>
    <t>602</t>
  </si>
  <si>
    <t>‭(20) 'ג200 החולמ האמח‬</t>
  </si>
  <si>
    <t>‭SVALIA הזנוירב‬</t>
  </si>
  <si>
    <t>759</t>
  </si>
  <si>
    <t>‭(6)'ג400 40% הזנירב‬</t>
  </si>
  <si>
    <t>760</t>
  </si>
  <si>
    <t>‭(6)'ג400 60% הזנירב‬</t>
  </si>
  <si>
    <t>‭SVALIA החירמל הניבג/'גטוק/גורובט‬</t>
  </si>
  <si>
    <t>615</t>
  </si>
  <si>
    <t>‭(8)'ג370 9% גורובט‬</t>
  </si>
  <si>
    <t>616</t>
  </si>
  <si>
    <t>‭(8)'ג370 5% גורובט‬</t>
  </si>
  <si>
    <t>617</t>
  </si>
  <si>
    <t>‭(4)'ג900 5% גורובט‬</t>
  </si>
  <si>
    <t>628</t>
  </si>
  <si>
    <t>‭(6) (SVALYA)'ג250 5% גורובט‬</t>
  </si>
  <si>
    <t>643</t>
  </si>
  <si>
    <t>‭(8) (SVALYA) םרג 350  0.5% גורובט‬</t>
  </si>
  <si>
    <t>644</t>
  </si>
  <si>
    <t>‭(8) (SVALYA) םרג 350 3% גורובט‬</t>
  </si>
  <si>
    <t>645</t>
  </si>
  <si>
    <t>‭(8) (SVALYA) םרג 350 5% גורובט‬</t>
  </si>
  <si>
    <t>646</t>
  </si>
  <si>
    <t>‭(4) (SVALYA) םרג 800 5% גורובט‬</t>
  </si>
  <si>
    <t>655</t>
  </si>
  <si>
    <t>‭(6)ג130 החירמל הניבג‬</t>
  </si>
  <si>
    <t>656</t>
  </si>
  <si>
    <t>‭(6)ג130 םינלבת םע החירמל הניבג‬</t>
  </si>
  <si>
    <t>657</t>
  </si>
  <si>
    <t>‭(6)ג130 ןופפלמ םע החירמל הניבג‬</t>
  </si>
  <si>
    <t>658</t>
  </si>
  <si>
    <t>‭(6)ג135 תכתומ הניבג‬</t>
  </si>
  <si>
    <t>659</t>
  </si>
  <si>
    <t>‭SVALYA(6) םרג160 ןמוש 28%  תכתומ הניבג‬</t>
  </si>
  <si>
    <t>‭SVALIA הניבג‬</t>
  </si>
  <si>
    <t>660</t>
  </si>
  <si>
    <t>‭(5) הניבג ףילחת SVALIA‬</t>
  </si>
  <si>
    <t>661</t>
  </si>
  <si>
    <t>‭(5) הניבג ףילחת DVARO‬</t>
  </si>
  <si>
    <t>662</t>
  </si>
  <si>
    <t>‭(5) הניבג ףילחת ROSSIYSKIY‬</t>
  </si>
  <si>
    <t>663</t>
  </si>
  <si>
    <t>‭(3) הניבג ףילחת GURMAN NEZHNIY‬</t>
  </si>
  <si>
    <t>664</t>
  </si>
  <si>
    <t>‭(4)ג"ק1 "SNACKS" ןשועמ‬</t>
  </si>
  <si>
    <t>755</t>
  </si>
  <si>
    <t>‭הניבג ףילחת ןשועמ GURMAN‬</t>
  </si>
  <si>
    <t>‭SVALIA תוסורפ הניבג‬</t>
  </si>
  <si>
    <t>649</t>
  </si>
  <si>
    <t>‭(18)'ג150 ןמוש 27% "EMMENTAL" הניבג תוסורפ‬</t>
  </si>
  <si>
    <t>650</t>
  </si>
  <si>
    <t>‭(18)'ג150 ןמוש 24.7% "MAASDAM" הניבג תוסורפ‬</t>
  </si>
  <si>
    <t>651</t>
  </si>
  <si>
    <t>‭(18)'ג150 ןמוש 27.5% "OLD VILNIUS" הניבג תוסורפ‬</t>
  </si>
  <si>
    <t>652</t>
  </si>
  <si>
    <t>‭(10)'ג"KOSHER 140" ןמוש 21% הניבג תועבצא‬</t>
  </si>
  <si>
    <t>654</t>
  </si>
  <si>
    <t>‭(7)'ג200 הדואג הניבג‬</t>
  </si>
  <si>
    <t>665</t>
  </si>
  <si>
    <t>‭(7)'ג200 ןזימורפ הניבג‬</t>
  </si>
  <si>
    <t>667</t>
  </si>
  <si>
    <t>‭(18)'ג150 הניבג ףילחת SVALIA‬</t>
  </si>
  <si>
    <t>668</t>
  </si>
  <si>
    <t>‭(18)'ג150 הניבג ףילחת DVARO‬</t>
  </si>
  <si>
    <t>669</t>
  </si>
  <si>
    <t>‭(18)'ג150 הניבג ףילחת ROSSIYSKIY‬</t>
  </si>
  <si>
    <t>670</t>
  </si>
  <si>
    <t>‭(9)'ג600 הניבג ףילחת SVALIA‬</t>
  </si>
  <si>
    <t>671</t>
  </si>
  <si>
    <t>‭(9)'ג600 הניבג ףילחת DVARO‬</t>
  </si>
  <si>
    <t>672</t>
  </si>
  <si>
    <t>‭(9)'ג600 הניבג ףילחת ROSSIYSKIY‬</t>
  </si>
  <si>
    <t>673</t>
  </si>
  <si>
    <t>‭(6)'ג600 הניבג ףילחת ןשועמ GURMAN‬</t>
  </si>
  <si>
    <t>674</t>
  </si>
  <si>
    <t>‭(18)'ג"KOSHER 150" ןמוש GOUDA 25.2% הניבג תוסורפ‬</t>
  </si>
  <si>
    <t>675</t>
  </si>
  <si>
    <t>‭(18)'ג"KOSHER 150" ןמוש EDAM 25.2% הניבג תוסורפ‬</t>
  </si>
  <si>
    <t>677</t>
  </si>
  <si>
    <t>‭(14)'ג150 הניבג ףילחת ןשועמ GURMAN‬</t>
  </si>
  <si>
    <t>678</t>
  </si>
  <si>
    <t>‭(12)'ג240 הניבג ףילחת DVARO‬</t>
  </si>
  <si>
    <t>‭SVALIA תנמש/טרוגוי/ הסייד‬</t>
  </si>
  <si>
    <t>1050</t>
  </si>
  <si>
    <t>‭(6)'ג200 לעוש תלוביש תסייד‬</t>
  </si>
  <si>
    <t>1052</t>
  </si>
  <si>
    <t>‭(6)'ג200 רב יתות םע תלוס תסייד‬</t>
  </si>
  <si>
    <t>1053</t>
  </si>
  <si>
    <t>‭(6)'ג200 שמשמ םע זרוא תסייד‬</t>
  </si>
  <si>
    <t>1060</t>
  </si>
  <si>
    <t>‭(6)'ג200 ינווי טרוגוי‬</t>
  </si>
  <si>
    <t>1061</t>
  </si>
  <si>
    <t>‭(6)'ג200 הניאת םע ינווי טרוגוי‬</t>
  </si>
  <si>
    <t>1062</t>
  </si>
  <si>
    <t>‭(6)'ג200 ןבדבוד םע ינווי טרוגוי‬</t>
  </si>
  <si>
    <t>1063</t>
  </si>
  <si>
    <t>‭(6)'ג200 שבד םע ינווי טרוגוי‬</t>
  </si>
  <si>
    <t>1064</t>
  </si>
  <si>
    <t>‭(6)'ג200 קסרפא םע ינווי טרוגוי‬</t>
  </si>
  <si>
    <t>1075</t>
  </si>
  <si>
    <t>‭(6)'ג500 ינווי היתשל טרוגוי‬</t>
  </si>
  <si>
    <t>1076</t>
  </si>
  <si>
    <t>‭(12) 'ג200 ןמוש 30% SMETANA תנמש‬</t>
  </si>
  <si>
    <t>1077</t>
  </si>
  <si>
    <t>‭(12)'ג350 ןמוש 15% SMETANA תנמש‬</t>
  </si>
  <si>
    <t>624</t>
  </si>
  <si>
    <t>‭(10)'ג500 "KEFIR" ריפק‬</t>
  </si>
  <si>
    <t>625</t>
  </si>
  <si>
    <t>‭(6)'ג500 יעבט ריפק הקשמ‬</t>
  </si>
  <si>
    <t>626</t>
  </si>
  <si>
    <t>‭(6)'ג500 הרולפיספו וגנמ םע ריפק הקשמ‬</t>
  </si>
  <si>
    <t>627</t>
  </si>
  <si>
    <t>‭(6)'ג500 תולוחכ תוינמכואו ןבדבוד םע ריפק הקשמ‬</t>
  </si>
  <si>
    <t>630</t>
  </si>
  <si>
    <t>‭(10) 'ל0.9 "KEFIR" ריפק‬</t>
  </si>
  <si>
    <t>631</t>
  </si>
  <si>
    <t>‭(6) 'ל0.5 "RIAZENKA" בלח הקשמ‬</t>
  </si>
  <si>
    <t>‭ןילופ הניבג‬</t>
  </si>
  <si>
    <t>680</t>
  </si>
  <si>
    <t>‭(2) SWISS הניבג‬</t>
  </si>
  <si>
    <t>681</t>
  </si>
  <si>
    <t>‭SALAMI הניבג‬</t>
  </si>
  <si>
    <t>683</t>
  </si>
  <si>
    <t>‭KIEVSKIY הניבג‬</t>
  </si>
  <si>
    <t>684</t>
  </si>
  <si>
    <t>‭ALDAMER הניבג‬</t>
  </si>
  <si>
    <t>685</t>
  </si>
  <si>
    <t>‭MAASDAM הניבג‬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</si>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</sst>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29"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3" formatCode="#,##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EC0B2-1766-42FC-99ED-A93EDA073DE2}" name="Table1" displayName="Table1" ref="A1:K88" totalsRowCount="1" headerRowDxfId="13" dataDxfId="28" headerRowBorderDxfId="26" tableBorderDxfId="27" totalsRowBorderDxfId="25">
  <autoFilter ref="A1:K87" xr:uid="{C35EC0B2-1766-42FC-99ED-A93EDA073DE2}"/>
  <sortState xmlns:xlrd2="http://schemas.microsoft.com/office/spreadsheetml/2017/richdata2" ref="A2:K87">
    <sortCondition sortBy="cellColor" ref="F1:F87" dxfId="1"/>
  </sortState>
  <tableColumns count="11">
    <tableColumn id="1" xr3:uid="{0BD9D634-11F3-4DD1-9715-C5E063234F57}" name="\" totalsRowLabel="Total" dataDxfId="24" totalsRowDxfId="12"/>
    <tableColumn id="2" xr3:uid="{38258D43-362F-47FD-85B0-B9F23031D8A1}" name="תאור משפחה" dataDxfId="23" totalsRowDxfId="11"/>
    <tableColumn id="3" xr3:uid="{FE8FC42F-C16F-4E11-9D21-D32A7B4E4F4D}" name="מק&quot;ט" dataDxfId="22" totalsRowDxfId="10"/>
    <tableColumn id="4" xr3:uid="{08DD44C1-6BF0-405D-BA04-5ED0F83EB3E9}" name="תאור" dataDxfId="21" totalsRowDxfId="9"/>
    <tableColumn id="5" xr3:uid="{203F21C3-EE57-424D-8A09-EE0EB3A6D612}" name="כמות מוצרים במלאי" totalsRowFunction="sum" dataDxfId="20" totalsRowDxfId="2"/>
    <tableColumn id="6" xr3:uid="{3EAAFFFF-BB0E-42DC-9526-8A293CC0B4E5}" name="פעיל מק&quot;ט" totalsRowFunction="sum" dataDxfId="19" totalsRowDxfId="3"/>
    <tableColumn id="7" xr3:uid="{7A859ECC-5591-4091-8070-3C821781E6F6}" name="מלאי KARTON" dataDxfId="18" totalsRowDxfId="8"/>
    <tableColumn id="8" xr3:uid="{3C74529A-4B75-4A46-8DA6-281BD4230ED0}" name="מכר קרט. ממוצע ביום " dataDxfId="17" totalsRowDxfId="7"/>
    <tableColumn id="9" xr3:uid="{66DDA476-BE8A-43BF-B30F-6D0B40AAB1CE}" name="מלאי בטחון KARTON" dataDxfId="16" totalsRowDxfId="6"/>
    <tableColumn id="10" xr3:uid="{FEF5453E-FBAF-466E-ACA9-C257C95CFF01}" name="WEIGHT KARTON average per מק&quot;ט" dataDxfId="15" totalsRowDxfId="5"/>
    <tableColumn id="11" xr3:uid="{66F3E53A-0EED-4B04-91FF-CE8380E07D39}" name="כמות לקוחות שהזמנינו for -מכר- average per Date" totalsRowFunction="sum" dataDxfId="14" totalsRowDxfId="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rightToLeft="1" tabSelected="1" workbookViewId="0">
      <selection activeCell="D90" sqref="D90"/>
    </sheetView>
  </sheetViews>
  <sheetFormatPr defaultColWidth="2.8984375" defaultRowHeight="13.8" x14ac:dyDescent="0.25"/>
  <cols>
    <col min="1" max="1" width="5.19921875" style="2" bestFit="1" customWidth="1"/>
    <col min="2" max="2" width="26.3984375" style="2" bestFit="1" customWidth="1"/>
    <col min="3" max="3" width="6.8984375" style="2" bestFit="1" customWidth="1"/>
    <col min="4" max="4" width="53.3984375" style="2" bestFit="1" customWidth="1"/>
    <col min="5" max="5" width="8" style="2" bestFit="1" customWidth="1"/>
    <col min="6" max="6" width="6.8984375" style="2" bestFit="1" customWidth="1"/>
    <col min="7" max="7" width="7" style="2" bestFit="1" customWidth="1"/>
    <col min="8" max="8" width="10.296875" style="2" bestFit="1" customWidth="1"/>
    <col min="9" max="9" width="10.59765625" style="2" bestFit="1" customWidth="1"/>
    <col min="10" max="10" width="18.09765625" style="2" bestFit="1" customWidth="1"/>
    <col min="11" max="11" width="18" style="2" bestFit="1" customWidth="1"/>
    <col min="12" max="16384" width="2.8984375" style="2"/>
  </cols>
  <sheetData>
    <row r="1" spans="1:11" s="1" customFormat="1" ht="47.4" customHeight="1" x14ac:dyDescent="0.25">
      <c r="A1" s="6" t="s">
        <v>192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8" t="s">
        <v>9</v>
      </c>
    </row>
    <row r="2" spans="1:11" x14ac:dyDescent="0.25">
      <c r="A2" s="9" t="s">
        <v>10</v>
      </c>
      <c r="B2" s="3" t="s">
        <v>59</v>
      </c>
      <c r="C2" s="3" t="s">
        <v>62</v>
      </c>
      <c r="D2" s="3" t="s">
        <v>63</v>
      </c>
      <c r="E2" s="4"/>
      <c r="F2" s="15">
        <v>1</v>
      </c>
      <c r="G2" s="5">
        <v>0</v>
      </c>
      <c r="H2" s="5"/>
      <c r="I2" s="5"/>
      <c r="J2" s="3"/>
      <c r="K2" s="10"/>
    </row>
    <row r="3" spans="1:11" x14ac:dyDescent="0.25">
      <c r="A3" s="9" t="s">
        <v>10</v>
      </c>
      <c r="B3" s="3" t="s">
        <v>59</v>
      </c>
      <c r="C3" s="3" t="s">
        <v>64</v>
      </c>
      <c r="D3" s="3" t="s">
        <v>65</v>
      </c>
      <c r="E3" s="4"/>
      <c r="F3" s="15">
        <v>1</v>
      </c>
      <c r="G3" s="5">
        <v>0</v>
      </c>
      <c r="H3" s="5"/>
      <c r="I3" s="5"/>
      <c r="J3" s="3"/>
      <c r="K3" s="10"/>
    </row>
    <row r="4" spans="1:11" x14ac:dyDescent="0.25">
      <c r="A4" s="9" t="s">
        <v>10</v>
      </c>
      <c r="B4" s="3" t="s">
        <v>66</v>
      </c>
      <c r="C4" s="3" t="s">
        <v>67</v>
      </c>
      <c r="D4" s="3" t="s">
        <v>68</v>
      </c>
      <c r="E4" s="4"/>
      <c r="F4" s="15">
        <v>1</v>
      </c>
      <c r="G4" s="5">
        <v>0</v>
      </c>
      <c r="H4" s="5"/>
      <c r="I4" s="5"/>
      <c r="J4" s="3"/>
      <c r="K4" s="10"/>
    </row>
    <row r="5" spans="1:11" x14ac:dyDescent="0.25">
      <c r="A5" s="9" t="s">
        <v>10</v>
      </c>
      <c r="B5" s="3" t="s">
        <v>66</v>
      </c>
      <c r="C5" s="3" t="s">
        <v>69</v>
      </c>
      <c r="D5" s="3" t="s">
        <v>70</v>
      </c>
      <c r="E5" s="4"/>
      <c r="F5" s="15">
        <v>1</v>
      </c>
      <c r="G5" s="5">
        <v>0</v>
      </c>
      <c r="H5" s="5"/>
      <c r="I5" s="5"/>
      <c r="J5" s="3"/>
      <c r="K5" s="10"/>
    </row>
    <row r="6" spans="1:11" x14ac:dyDescent="0.25">
      <c r="A6" s="9" t="s">
        <v>10</v>
      </c>
      <c r="B6" s="3" t="s">
        <v>71</v>
      </c>
      <c r="C6" s="3" t="s">
        <v>72</v>
      </c>
      <c r="D6" s="3" t="s">
        <v>73</v>
      </c>
      <c r="E6" s="4"/>
      <c r="F6" s="15">
        <v>1</v>
      </c>
      <c r="G6" s="5">
        <v>0</v>
      </c>
      <c r="H6" s="5"/>
      <c r="I6" s="5"/>
      <c r="J6" s="3"/>
      <c r="K6" s="10"/>
    </row>
    <row r="7" spans="1:11" x14ac:dyDescent="0.25">
      <c r="A7" s="9" t="s">
        <v>10</v>
      </c>
      <c r="B7" s="3" t="s">
        <v>71</v>
      </c>
      <c r="C7" s="3" t="s">
        <v>74</v>
      </c>
      <c r="D7" s="3" t="s">
        <v>75</v>
      </c>
      <c r="E7" s="4"/>
      <c r="F7" s="15">
        <v>1</v>
      </c>
      <c r="G7" s="5">
        <v>0</v>
      </c>
      <c r="H7" s="5"/>
      <c r="I7" s="5"/>
      <c r="J7" s="3"/>
      <c r="K7" s="10"/>
    </row>
    <row r="8" spans="1:11" x14ac:dyDescent="0.25">
      <c r="A8" s="9" t="s">
        <v>10</v>
      </c>
      <c r="B8" s="3" t="s">
        <v>71</v>
      </c>
      <c r="C8" s="3" t="s">
        <v>76</v>
      </c>
      <c r="D8" s="3" t="s">
        <v>77</v>
      </c>
      <c r="E8" s="4"/>
      <c r="F8" s="15">
        <v>1</v>
      </c>
      <c r="G8" s="5">
        <v>0</v>
      </c>
      <c r="H8" s="5"/>
      <c r="I8" s="5"/>
      <c r="J8" s="3"/>
      <c r="K8" s="10"/>
    </row>
    <row r="9" spans="1:11" x14ac:dyDescent="0.25">
      <c r="A9" s="9" t="s">
        <v>10</v>
      </c>
      <c r="B9" s="3" t="s">
        <v>71</v>
      </c>
      <c r="C9" s="3" t="s">
        <v>88</v>
      </c>
      <c r="D9" s="3" t="s">
        <v>89</v>
      </c>
      <c r="E9" s="4"/>
      <c r="F9" s="15">
        <v>1</v>
      </c>
      <c r="G9" s="5">
        <v>0</v>
      </c>
      <c r="H9" s="5"/>
      <c r="I9" s="5"/>
      <c r="J9" s="3"/>
      <c r="K9" s="10"/>
    </row>
    <row r="10" spans="1:11" x14ac:dyDescent="0.25">
      <c r="A10" s="9" t="s">
        <v>10</v>
      </c>
      <c r="B10" s="3" t="s">
        <v>71</v>
      </c>
      <c r="C10" s="3" t="s">
        <v>90</v>
      </c>
      <c r="D10" s="3" t="s">
        <v>91</v>
      </c>
      <c r="E10" s="4"/>
      <c r="F10" s="15">
        <v>1</v>
      </c>
      <c r="G10" s="5">
        <v>0</v>
      </c>
      <c r="H10" s="5"/>
      <c r="I10" s="5"/>
      <c r="J10" s="3"/>
      <c r="K10" s="10"/>
    </row>
    <row r="11" spans="1:11" x14ac:dyDescent="0.25">
      <c r="A11" s="9" t="s">
        <v>10</v>
      </c>
      <c r="B11" s="3" t="s">
        <v>71</v>
      </c>
      <c r="C11" s="3" t="s">
        <v>92</v>
      </c>
      <c r="D11" s="3" t="s">
        <v>93</v>
      </c>
      <c r="E11" s="4"/>
      <c r="F11" s="15">
        <v>1</v>
      </c>
      <c r="G11" s="5">
        <v>0</v>
      </c>
      <c r="H11" s="5"/>
      <c r="I11" s="5"/>
      <c r="J11" s="3"/>
      <c r="K11" s="10"/>
    </row>
    <row r="12" spans="1:11" x14ac:dyDescent="0.25">
      <c r="A12" s="9" t="s">
        <v>10</v>
      </c>
      <c r="B12" s="3" t="s">
        <v>71</v>
      </c>
      <c r="C12" s="3" t="s">
        <v>94</v>
      </c>
      <c r="D12" s="3" t="s">
        <v>95</v>
      </c>
      <c r="E12" s="4"/>
      <c r="F12" s="15">
        <v>1</v>
      </c>
      <c r="G12" s="5">
        <v>0</v>
      </c>
      <c r="H12" s="5"/>
      <c r="I12" s="5"/>
      <c r="J12" s="3"/>
      <c r="K12" s="10"/>
    </row>
    <row r="13" spans="1:11" x14ac:dyDescent="0.25">
      <c r="A13" s="9" t="s">
        <v>10</v>
      </c>
      <c r="B13" s="3" t="s">
        <v>98</v>
      </c>
      <c r="C13" s="3" t="s">
        <v>105</v>
      </c>
      <c r="D13" s="3" t="s">
        <v>106</v>
      </c>
      <c r="E13" s="4"/>
      <c r="F13" s="15">
        <v>1</v>
      </c>
      <c r="G13" s="5">
        <v>0</v>
      </c>
      <c r="H13" s="5"/>
      <c r="I13" s="5"/>
      <c r="J13" s="3"/>
      <c r="K13" s="10"/>
    </row>
    <row r="14" spans="1:11" x14ac:dyDescent="0.25">
      <c r="A14" s="9" t="s">
        <v>10</v>
      </c>
      <c r="B14" s="3" t="s">
        <v>111</v>
      </c>
      <c r="C14" s="3" t="s">
        <v>116</v>
      </c>
      <c r="D14" s="3" t="s">
        <v>117</v>
      </c>
      <c r="E14" s="4"/>
      <c r="F14" s="15">
        <v>1</v>
      </c>
      <c r="G14" s="5">
        <v>0</v>
      </c>
      <c r="H14" s="5"/>
      <c r="I14" s="5"/>
      <c r="J14" s="3"/>
      <c r="K14" s="10"/>
    </row>
    <row r="15" spans="1:11" x14ac:dyDescent="0.25">
      <c r="A15" s="9" t="s">
        <v>10</v>
      </c>
      <c r="B15" s="3" t="s">
        <v>111</v>
      </c>
      <c r="C15" s="3" t="s">
        <v>118</v>
      </c>
      <c r="D15" s="3" t="s">
        <v>119</v>
      </c>
      <c r="E15" s="4"/>
      <c r="F15" s="15">
        <v>1</v>
      </c>
      <c r="G15" s="5">
        <v>0</v>
      </c>
      <c r="H15" s="5"/>
      <c r="I15" s="5"/>
      <c r="J15" s="3"/>
      <c r="K15" s="10"/>
    </row>
    <row r="16" spans="1:11" x14ac:dyDescent="0.25">
      <c r="A16" s="9" t="s">
        <v>10</v>
      </c>
      <c r="B16" s="3" t="s">
        <v>111</v>
      </c>
      <c r="C16" s="3" t="s">
        <v>120</v>
      </c>
      <c r="D16" s="3" t="s">
        <v>121</v>
      </c>
      <c r="E16" s="4"/>
      <c r="F16" s="15">
        <v>1</v>
      </c>
      <c r="G16" s="5">
        <v>0</v>
      </c>
      <c r="H16" s="5"/>
      <c r="I16" s="5"/>
      <c r="J16" s="3"/>
      <c r="K16" s="10"/>
    </row>
    <row r="17" spans="1:11" x14ac:dyDescent="0.25">
      <c r="A17" s="9" t="s">
        <v>10</v>
      </c>
      <c r="B17" s="3" t="s">
        <v>111</v>
      </c>
      <c r="C17" s="3" t="s">
        <v>132</v>
      </c>
      <c r="D17" s="3" t="s">
        <v>133</v>
      </c>
      <c r="E17" s="4"/>
      <c r="F17" s="15">
        <v>1</v>
      </c>
      <c r="G17" s="5">
        <v>0</v>
      </c>
      <c r="H17" s="5"/>
      <c r="I17" s="5"/>
      <c r="J17" s="3"/>
      <c r="K17" s="10"/>
    </row>
    <row r="18" spans="1:11" x14ac:dyDescent="0.25">
      <c r="A18" s="9" t="s">
        <v>10</v>
      </c>
      <c r="B18" s="3" t="s">
        <v>111</v>
      </c>
      <c r="C18" s="3" t="s">
        <v>140</v>
      </c>
      <c r="D18" s="3" t="s">
        <v>141</v>
      </c>
      <c r="E18" s="4"/>
      <c r="F18" s="15">
        <v>1</v>
      </c>
      <c r="G18" s="5">
        <v>0</v>
      </c>
      <c r="H18" s="5"/>
      <c r="I18" s="5"/>
      <c r="J18" s="3"/>
      <c r="K18" s="10"/>
    </row>
    <row r="19" spans="1:11" x14ac:dyDescent="0.25">
      <c r="A19" s="9" t="s">
        <v>10</v>
      </c>
      <c r="B19" s="3" t="s">
        <v>111</v>
      </c>
      <c r="C19" s="3" t="s">
        <v>144</v>
      </c>
      <c r="D19" s="3" t="s">
        <v>145</v>
      </c>
      <c r="E19" s="4"/>
      <c r="F19" s="15">
        <v>1</v>
      </c>
      <c r="G19" s="5">
        <v>0</v>
      </c>
      <c r="H19" s="5"/>
      <c r="I19" s="5"/>
      <c r="J19" s="3"/>
      <c r="K19" s="10"/>
    </row>
    <row r="20" spans="1:11" x14ac:dyDescent="0.25">
      <c r="A20" s="9" t="s">
        <v>10</v>
      </c>
      <c r="B20" s="3" t="s">
        <v>146</v>
      </c>
      <c r="C20" s="3" t="s">
        <v>173</v>
      </c>
      <c r="D20" s="3" t="s">
        <v>174</v>
      </c>
      <c r="E20" s="4"/>
      <c r="F20" s="15">
        <v>1</v>
      </c>
      <c r="G20" s="5">
        <v>0</v>
      </c>
      <c r="H20" s="5"/>
      <c r="I20" s="5"/>
      <c r="J20" s="3"/>
      <c r="K20" s="10"/>
    </row>
    <row r="21" spans="1:11" x14ac:dyDescent="0.25">
      <c r="A21" s="9" t="s">
        <v>10</v>
      </c>
      <c r="B21" s="3" t="s">
        <v>146</v>
      </c>
      <c r="C21" s="3" t="s">
        <v>175</v>
      </c>
      <c r="D21" s="3" t="s">
        <v>176</v>
      </c>
      <c r="E21" s="4"/>
      <c r="F21" s="15">
        <v>1</v>
      </c>
      <c r="G21" s="5">
        <v>0</v>
      </c>
      <c r="H21" s="5"/>
      <c r="I21" s="5"/>
      <c r="J21" s="3"/>
      <c r="K21" s="10"/>
    </row>
    <row r="22" spans="1:11" x14ac:dyDescent="0.25">
      <c r="A22" s="9" t="s">
        <v>10</v>
      </c>
      <c r="B22" s="3" t="s">
        <v>181</v>
      </c>
      <c r="C22" s="3" t="s">
        <v>182</v>
      </c>
      <c r="D22" s="3" t="s">
        <v>183</v>
      </c>
      <c r="E22" s="4"/>
      <c r="F22" s="15">
        <v>1</v>
      </c>
      <c r="G22" s="5">
        <v>0</v>
      </c>
      <c r="H22" s="5"/>
      <c r="I22" s="5"/>
      <c r="J22" s="3"/>
      <c r="K22" s="10"/>
    </row>
    <row r="23" spans="1:11" x14ac:dyDescent="0.25">
      <c r="A23" s="9" t="s">
        <v>10</v>
      </c>
      <c r="B23" s="3" t="s">
        <v>181</v>
      </c>
      <c r="C23" s="3" t="s">
        <v>184</v>
      </c>
      <c r="D23" s="3" t="s">
        <v>185</v>
      </c>
      <c r="E23" s="4"/>
      <c r="F23" s="15">
        <v>1</v>
      </c>
      <c r="G23" s="5">
        <v>0</v>
      </c>
      <c r="H23" s="5"/>
      <c r="I23" s="5"/>
      <c r="J23" s="3"/>
      <c r="K23" s="10"/>
    </row>
    <row r="24" spans="1:11" x14ac:dyDescent="0.25">
      <c r="A24" s="9" t="s">
        <v>10</v>
      </c>
      <c r="B24" s="3" t="s">
        <v>181</v>
      </c>
      <c r="C24" s="3" t="s">
        <v>186</v>
      </c>
      <c r="D24" s="3" t="s">
        <v>187</v>
      </c>
      <c r="E24" s="4"/>
      <c r="F24" s="15">
        <v>1</v>
      </c>
      <c r="G24" s="5">
        <v>0</v>
      </c>
      <c r="H24" s="5"/>
      <c r="I24" s="5"/>
      <c r="J24" s="3"/>
      <c r="K24" s="10"/>
    </row>
    <row r="25" spans="1:11" x14ac:dyDescent="0.25">
      <c r="A25" s="9" t="s">
        <v>10</v>
      </c>
      <c r="B25" s="3" t="s">
        <v>181</v>
      </c>
      <c r="C25" s="3" t="s">
        <v>188</v>
      </c>
      <c r="D25" s="3" t="s">
        <v>189</v>
      </c>
      <c r="E25" s="4"/>
      <c r="F25" s="15">
        <v>1</v>
      </c>
      <c r="G25" s="5">
        <v>0</v>
      </c>
      <c r="H25" s="5"/>
      <c r="I25" s="5"/>
      <c r="J25" s="3"/>
      <c r="K25" s="10"/>
    </row>
    <row r="26" spans="1:11" x14ac:dyDescent="0.25">
      <c r="A26" s="9" t="s">
        <v>10</v>
      </c>
      <c r="B26" s="3" t="s">
        <v>181</v>
      </c>
      <c r="C26" s="3" t="s">
        <v>190</v>
      </c>
      <c r="D26" s="3" t="s">
        <v>191</v>
      </c>
      <c r="E26" s="4"/>
      <c r="F26" s="15">
        <v>1</v>
      </c>
      <c r="G26" s="5">
        <v>0</v>
      </c>
      <c r="H26" s="5"/>
      <c r="I26" s="5"/>
      <c r="J26" s="3"/>
      <c r="K26" s="10"/>
    </row>
    <row r="27" spans="1:11" x14ac:dyDescent="0.25">
      <c r="A27" s="9" t="s">
        <v>10</v>
      </c>
      <c r="B27" s="3" t="s">
        <v>11</v>
      </c>
      <c r="C27" s="3" t="s">
        <v>12</v>
      </c>
      <c r="D27" s="3" t="s">
        <v>13</v>
      </c>
      <c r="E27" s="4">
        <v>1</v>
      </c>
      <c r="F27" s="3">
        <v>1</v>
      </c>
      <c r="G27" s="5">
        <v>706</v>
      </c>
      <c r="H27" s="5">
        <v>82</v>
      </c>
      <c r="I27" s="5">
        <v>2635.7142857142858</v>
      </c>
      <c r="J27" s="3">
        <v>1.44</v>
      </c>
      <c r="K27" s="10">
        <v>34</v>
      </c>
    </row>
    <row r="28" spans="1:11" x14ac:dyDescent="0.25">
      <c r="A28" s="9" t="s">
        <v>10</v>
      </c>
      <c r="B28" s="3" t="s">
        <v>11</v>
      </c>
      <c r="C28" s="3" t="s">
        <v>14</v>
      </c>
      <c r="D28" s="3" t="s">
        <v>15</v>
      </c>
      <c r="E28" s="4">
        <v>1</v>
      </c>
      <c r="F28" s="3">
        <v>1</v>
      </c>
      <c r="G28" s="5">
        <v>705</v>
      </c>
      <c r="H28" s="5">
        <v>85</v>
      </c>
      <c r="I28" s="5">
        <v>2732.1428571428573</v>
      </c>
      <c r="J28" s="3">
        <v>1.44</v>
      </c>
      <c r="K28" s="10">
        <v>37</v>
      </c>
    </row>
    <row r="29" spans="1:11" x14ac:dyDescent="0.25">
      <c r="A29" s="9" t="s">
        <v>10</v>
      </c>
      <c r="B29" s="3" t="s">
        <v>11</v>
      </c>
      <c r="C29" s="3" t="s">
        <v>16</v>
      </c>
      <c r="D29" s="3" t="s">
        <v>17</v>
      </c>
      <c r="E29" s="4">
        <v>1</v>
      </c>
      <c r="F29" s="3">
        <v>1</v>
      </c>
      <c r="G29" s="5">
        <v>770</v>
      </c>
      <c r="H29" s="5">
        <v>69</v>
      </c>
      <c r="I29" s="5">
        <v>2217.8571428571431</v>
      </c>
      <c r="J29" s="3">
        <v>2.4</v>
      </c>
      <c r="K29" s="10">
        <v>31</v>
      </c>
    </row>
    <row r="30" spans="1:11" x14ac:dyDescent="0.25">
      <c r="A30" s="9" t="s">
        <v>10</v>
      </c>
      <c r="B30" s="3" t="s">
        <v>11</v>
      </c>
      <c r="C30" s="3" t="s">
        <v>18</v>
      </c>
      <c r="D30" s="3" t="s">
        <v>19</v>
      </c>
      <c r="E30" s="4">
        <v>1</v>
      </c>
      <c r="F30" s="3">
        <v>1</v>
      </c>
      <c r="G30" s="5">
        <v>602</v>
      </c>
      <c r="H30" s="5">
        <v>66</v>
      </c>
      <c r="I30" s="5">
        <v>2121.4285714285716</v>
      </c>
      <c r="J30" s="3">
        <v>2.4</v>
      </c>
      <c r="K30" s="10">
        <v>29.5</v>
      </c>
    </row>
    <row r="31" spans="1:11" x14ac:dyDescent="0.25">
      <c r="A31" s="9" t="s">
        <v>10</v>
      </c>
      <c r="B31" s="3" t="s">
        <v>11</v>
      </c>
      <c r="C31" s="3" t="s">
        <v>20</v>
      </c>
      <c r="D31" s="3" t="s">
        <v>21</v>
      </c>
      <c r="E31" s="4">
        <v>1</v>
      </c>
      <c r="F31" s="3">
        <v>1</v>
      </c>
      <c r="G31" s="5">
        <v>578</v>
      </c>
      <c r="H31" s="5">
        <v>90</v>
      </c>
      <c r="I31" s="5">
        <v>2892.8571428571431</v>
      </c>
      <c r="J31" s="3">
        <v>2.4</v>
      </c>
      <c r="K31" s="10">
        <v>38</v>
      </c>
    </row>
    <row r="32" spans="1:11" x14ac:dyDescent="0.25">
      <c r="A32" s="9" t="s">
        <v>10</v>
      </c>
      <c r="B32" s="3" t="s">
        <v>11</v>
      </c>
      <c r="C32" s="3" t="s">
        <v>22</v>
      </c>
      <c r="D32" s="3" t="s">
        <v>23</v>
      </c>
      <c r="E32" s="4">
        <v>1</v>
      </c>
      <c r="F32" s="3">
        <v>1</v>
      </c>
      <c r="G32" s="5">
        <v>775</v>
      </c>
      <c r="H32" s="5">
        <v>59</v>
      </c>
      <c r="I32" s="5">
        <v>1896.4285714285716</v>
      </c>
      <c r="J32" s="3">
        <v>2.64</v>
      </c>
      <c r="K32" s="10">
        <v>28.5</v>
      </c>
    </row>
    <row r="33" spans="1:11" x14ac:dyDescent="0.25">
      <c r="A33" s="9" t="s">
        <v>10</v>
      </c>
      <c r="B33" s="3" t="s">
        <v>11</v>
      </c>
      <c r="C33" s="3" t="s">
        <v>24</v>
      </c>
      <c r="D33" s="3" t="s">
        <v>25</v>
      </c>
      <c r="E33" s="4">
        <v>1</v>
      </c>
      <c r="F33" s="3">
        <v>1</v>
      </c>
      <c r="G33" s="5">
        <v>761</v>
      </c>
      <c r="H33" s="5">
        <v>77</v>
      </c>
      <c r="I33" s="5">
        <v>2475</v>
      </c>
      <c r="J33" s="3">
        <v>2.6999999999999997</v>
      </c>
      <c r="K33" s="10">
        <v>35</v>
      </c>
    </row>
    <row r="34" spans="1:11" x14ac:dyDescent="0.25">
      <c r="A34" s="9" t="s">
        <v>10</v>
      </c>
      <c r="B34" s="3" t="s">
        <v>11</v>
      </c>
      <c r="C34" s="3" t="s">
        <v>26</v>
      </c>
      <c r="D34" s="3" t="s">
        <v>27</v>
      </c>
      <c r="E34" s="4">
        <v>1</v>
      </c>
      <c r="F34" s="3">
        <v>1</v>
      </c>
      <c r="G34" s="5">
        <v>1432</v>
      </c>
      <c r="H34" s="5">
        <v>68</v>
      </c>
      <c r="I34" s="5">
        <v>2185.7142857142858</v>
      </c>
      <c r="J34" s="3">
        <v>1.08</v>
      </c>
      <c r="K34" s="10">
        <v>31.5</v>
      </c>
    </row>
    <row r="35" spans="1:11" x14ac:dyDescent="0.25">
      <c r="A35" s="9" t="s">
        <v>10</v>
      </c>
      <c r="B35" s="3" t="s">
        <v>11</v>
      </c>
      <c r="C35" s="3" t="s">
        <v>28</v>
      </c>
      <c r="D35" s="3" t="s">
        <v>29</v>
      </c>
      <c r="E35" s="4">
        <v>1</v>
      </c>
      <c r="F35" s="3">
        <v>1</v>
      </c>
      <c r="G35" s="5">
        <v>709</v>
      </c>
      <c r="H35" s="5">
        <v>57</v>
      </c>
      <c r="I35" s="5">
        <v>1832.1428571428573</v>
      </c>
      <c r="J35" s="3">
        <v>1.6800000000000002</v>
      </c>
      <c r="K35" s="10">
        <v>29.5</v>
      </c>
    </row>
    <row r="36" spans="1:11" x14ac:dyDescent="0.25">
      <c r="A36" s="9" t="s">
        <v>10</v>
      </c>
      <c r="B36" s="3" t="s">
        <v>11</v>
      </c>
      <c r="C36" s="3" t="s">
        <v>30</v>
      </c>
      <c r="D36" s="3" t="s">
        <v>31</v>
      </c>
      <c r="E36" s="4">
        <v>1</v>
      </c>
      <c r="F36" s="3">
        <v>1</v>
      </c>
      <c r="G36" s="5">
        <v>720</v>
      </c>
      <c r="H36" s="5">
        <v>46</v>
      </c>
      <c r="I36" s="5">
        <v>1478.5714285714287</v>
      </c>
      <c r="J36" s="3">
        <v>1.6800000000000002</v>
      </c>
      <c r="K36" s="10">
        <v>23</v>
      </c>
    </row>
    <row r="37" spans="1:11" x14ac:dyDescent="0.25">
      <c r="A37" s="9" t="s">
        <v>10</v>
      </c>
      <c r="B37" s="3" t="s">
        <v>11</v>
      </c>
      <c r="C37" s="3" t="s">
        <v>32</v>
      </c>
      <c r="D37" s="3" t="s">
        <v>33</v>
      </c>
      <c r="E37" s="4">
        <v>1</v>
      </c>
      <c r="F37" s="3">
        <v>1</v>
      </c>
      <c r="G37" s="5">
        <v>716</v>
      </c>
      <c r="H37" s="5">
        <v>50</v>
      </c>
      <c r="I37" s="5">
        <v>1607.1428571428573</v>
      </c>
      <c r="J37" s="3">
        <v>1.6800000000000002</v>
      </c>
      <c r="K37" s="10">
        <v>26</v>
      </c>
    </row>
    <row r="38" spans="1:11" x14ac:dyDescent="0.25">
      <c r="A38" s="9" t="s">
        <v>10</v>
      </c>
      <c r="B38" s="3" t="s">
        <v>11</v>
      </c>
      <c r="C38" s="3" t="s">
        <v>34</v>
      </c>
      <c r="D38" s="3" t="s">
        <v>35</v>
      </c>
      <c r="E38" s="4">
        <v>1</v>
      </c>
      <c r="F38" s="3">
        <v>1</v>
      </c>
      <c r="G38" s="5">
        <v>449</v>
      </c>
      <c r="H38" s="5">
        <v>77</v>
      </c>
      <c r="I38" s="5">
        <v>2475</v>
      </c>
      <c r="J38" s="3">
        <v>1.7999999999999998</v>
      </c>
      <c r="K38" s="10">
        <v>36.5</v>
      </c>
    </row>
    <row r="39" spans="1:11" x14ac:dyDescent="0.25">
      <c r="A39" s="9" t="s">
        <v>10</v>
      </c>
      <c r="B39" s="3" t="s">
        <v>11</v>
      </c>
      <c r="C39" s="3" t="s">
        <v>36</v>
      </c>
      <c r="D39" s="3" t="s">
        <v>37</v>
      </c>
      <c r="E39" s="4">
        <v>1</v>
      </c>
      <c r="F39" s="3">
        <v>1</v>
      </c>
      <c r="G39" s="5">
        <v>462</v>
      </c>
      <c r="H39" s="5">
        <v>64</v>
      </c>
      <c r="I39" s="5">
        <v>2057.1428571428573</v>
      </c>
      <c r="J39" s="3">
        <v>1.7999999999999998</v>
      </c>
      <c r="K39" s="10">
        <v>30</v>
      </c>
    </row>
    <row r="40" spans="1:11" x14ac:dyDescent="0.25">
      <c r="A40" s="9" t="s">
        <v>10</v>
      </c>
      <c r="B40" s="3" t="s">
        <v>11</v>
      </c>
      <c r="C40" s="3" t="s">
        <v>38</v>
      </c>
      <c r="D40" s="3" t="s">
        <v>39</v>
      </c>
      <c r="E40" s="4">
        <v>1</v>
      </c>
      <c r="F40" s="3">
        <v>1</v>
      </c>
      <c r="G40" s="5">
        <v>462</v>
      </c>
      <c r="H40" s="5">
        <v>63</v>
      </c>
      <c r="I40" s="5">
        <v>2025.0000000000002</v>
      </c>
      <c r="J40" s="3">
        <v>1.7999999999999998</v>
      </c>
      <c r="K40" s="10">
        <v>30</v>
      </c>
    </row>
    <row r="41" spans="1:11" x14ac:dyDescent="0.25">
      <c r="A41" s="9" t="s">
        <v>10</v>
      </c>
      <c r="B41" s="3" t="s">
        <v>11</v>
      </c>
      <c r="C41" s="3" t="s">
        <v>40</v>
      </c>
      <c r="D41" s="3" t="s">
        <v>41</v>
      </c>
      <c r="E41" s="4"/>
      <c r="F41" s="3">
        <v>1</v>
      </c>
      <c r="G41" s="5"/>
      <c r="H41" s="5"/>
      <c r="I41" s="5"/>
      <c r="J41" s="3"/>
      <c r="K41" s="10">
        <v>20</v>
      </c>
    </row>
    <row r="42" spans="1:11" x14ac:dyDescent="0.25">
      <c r="A42" s="9" t="s">
        <v>10</v>
      </c>
      <c r="B42" s="3" t="s">
        <v>11</v>
      </c>
      <c r="C42" s="3" t="s">
        <v>42</v>
      </c>
      <c r="D42" s="3" t="s">
        <v>43</v>
      </c>
      <c r="E42" s="4"/>
      <c r="F42" s="3">
        <v>1</v>
      </c>
      <c r="G42" s="5"/>
      <c r="H42" s="5"/>
      <c r="I42" s="5"/>
      <c r="J42" s="3"/>
      <c r="K42" s="10">
        <v>17</v>
      </c>
    </row>
    <row r="43" spans="1:11" x14ac:dyDescent="0.25">
      <c r="A43" s="9" t="s">
        <v>10</v>
      </c>
      <c r="B43" s="3" t="s">
        <v>11</v>
      </c>
      <c r="C43" s="3" t="s">
        <v>44</v>
      </c>
      <c r="D43" s="3" t="s">
        <v>45</v>
      </c>
      <c r="E43" s="4"/>
      <c r="F43" s="3">
        <v>1</v>
      </c>
      <c r="G43" s="5"/>
      <c r="H43" s="5"/>
      <c r="I43" s="5"/>
      <c r="J43" s="3"/>
      <c r="K43" s="10">
        <v>19</v>
      </c>
    </row>
    <row r="44" spans="1:11" x14ac:dyDescent="0.25">
      <c r="A44" s="9" t="s">
        <v>10</v>
      </c>
      <c r="B44" s="3" t="s">
        <v>11</v>
      </c>
      <c r="C44" s="3" t="s">
        <v>46</v>
      </c>
      <c r="D44" s="3" t="s">
        <v>47</v>
      </c>
      <c r="E44" s="4">
        <v>1</v>
      </c>
      <c r="F44" s="3">
        <v>1</v>
      </c>
      <c r="G44" s="5">
        <v>253</v>
      </c>
      <c r="H44" s="5">
        <v>38</v>
      </c>
      <c r="I44" s="5">
        <v>1221.4285714285716</v>
      </c>
      <c r="J44" s="3">
        <v>2.2400000000000002</v>
      </c>
      <c r="K44" s="10">
        <v>38</v>
      </c>
    </row>
    <row r="45" spans="1:11" x14ac:dyDescent="0.25">
      <c r="A45" s="9" t="s">
        <v>10</v>
      </c>
      <c r="B45" s="3" t="s">
        <v>11</v>
      </c>
      <c r="C45" s="3" t="s">
        <v>48</v>
      </c>
      <c r="D45" s="3" t="s">
        <v>49</v>
      </c>
      <c r="E45" s="4">
        <v>1</v>
      </c>
      <c r="F45" s="3">
        <v>1</v>
      </c>
      <c r="G45" s="5">
        <v>314</v>
      </c>
      <c r="H45" s="5">
        <v>38</v>
      </c>
      <c r="I45" s="5">
        <v>1221.4285714285716</v>
      </c>
      <c r="J45" s="3">
        <v>2.2400000000000002</v>
      </c>
      <c r="K45" s="10">
        <v>39</v>
      </c>
    </row>
    <row r="46" spans="1:11" x14ac:dyDescent="0.25">
      <c r="A46" s="9" t="s">
        <v>10</v>
      </c>
      <c r="B46" s="3" t="s">
        <v>11</v>
      </c>
      <c r="C46" s="3" t="s">
        <v>50</v>
      </c>
      <c r="D46" s="3" t="s">
        <v>51</v>
      </c>
      <c r="E46" s="4">
        <v>1</v>
      </c>
      <c r="F46" s="3">
        <v>1</v>
      </c>
      <c r="G46" s="5">
        <v>354</v>
      </c>
      <c r="H46" s="5">
        <v>32</v>
      </c>
      <c r="I46" s="5">
        <v>1028.5714285714287</v>
      </c>
      <c r="J46" s="3">
        <v>2.2400000000000002</v>
      </c>
      <c r="K46" s="10">
        <v>32</v>
      </c>
    </row>
    <row r="47" spans="1:11" x14ac:dyDescent="0.25">
      <c r="A47" s="9" t="s">
        <v>10</v>
      </c>
      <c r="B47" s="3" t="s">
        <v>11</v>
      </c>
      <c r="C47" s="3" t="s">
        <v>52</v>
      </c>
      <c r="D47" s="3" t="s">
        <v>53</v>
      </c>
      <c r="E47" s="4">
        <v>1</v>
      </c>
      <c r="F47" s="3">
        <v>1</v>
      </c>
      <c r="G47" s="5">
        <v>636</v>
      </c>
      <c r="H47" s="5">
        <v>58</v>
      </c>
      <c r="I47" s="5">
        <v>1864.2857142857144</v>
      </c>
      <c r="J47" s="3">
        <v>1.8900000000000001</v>
      </c>
      <c r="K47" s="10">
        <v>28.5</v>
      </c>
    </row>
    <row r="48" spans="1:11" x14ac:dyDescent="0.25">
      <c r="A48" s="9" t="s">
        <v>10</v>
      </c>
      <c r="B48" s="3" t="s">
        <v>11</v>
      </c>
      <c r="C48" s="3" t="s">
        <v>54</v>
      </c>
      <c r="D48" s="3" t="s">
        <v>55</v>
      </c>
      <c r="E48" s="4">
        <v>1</v>
      </c>
      <c r="F48" s="3">
        <v>1</v>
      </c>
      <c r="G48" s="5">
        <v>946</v>
      </c>
      <c r="H48" s="5">
        <v>60</v>
      </c>
      <c r="I48" s="5">
        <v>1928.5714285714287</v>
      </c>
      <c r="J48" s="3">
        <v>1.8900000000000001</v>
      </c>
      <c r="K48" s="10">
        <v>29.5</v>
      </c>
    </row>
    <row r="49" spans="1:11" x14ac:dyDescent="0.25">
      <c r="A49" s="9" t="s">
        <v>10</v>
      </c>
      <c r="B49" s="3" t="s">
        <v>11</v>
      </c>
      <c r="C49" s="3" t="s">
        <v>56</v>
      </c>
      <c r="D49" s="3" t="s">
        <v>57</v>
      </c>
      <c r="E49" s="4">
        <v>1</v>
      </c>
      <c r="F49" s="3">
        <v>1</v>
      </c>
      <c r="G49" s="5">
        <v>798</v>
      </c>
      <c r="H49" s="5">
        <v>44</v>
      </c>
      <c r="I49" s="5">
        <v>1414.2857142857144</v>
      </c>
      <c r="J49" s="3">
        <v>1.8900000000000001</v>
      </c>
      <c r="K49" s="10">
        <v>21.5</v>
      </c>
    </row>
    <row r="50" spans="1:11" x14ac:dyDescent="0.25">
      <c r="A50" s="9" t="s">
        <v>10</v>
      </c>
      <c r="B50" s="3" t="s">
        <v>59</v>
      </c>
      <c r="C50" s="3" t="s">
        <v>60</v>
      </c>
      <c r="D50" s="3" t="s">
        <v>61</v>
      </c>
      <c r="E50" s="4"/>
      <c r="F50" s="3">
        <v>1</v>
      </c>
      <c r="G50" s="5">
        <v>0</v>
      </c>
      <c r="H50" s="5"/>
      <c r="I50" s="5"/>
      <c r="J50" s="3">
        <v>4</v>
      </c>
      <c r="K50" s="10"/>
    </row>
    <row r="51" spans="1:11" x14ac:dyDescent="0.25">
      <c r="A51" s="9" t="s">
        <v>10</v>
      </c>
      <c r="B51" s="3" t="s">
        <v>71</v>
      </c>
      <c r="C51" s="3" t="s">
        <v>78</v>
      </c>
      <c r="D51" s="3" t="s">
        <v>79</v>
      </c>
      <c r="E51" s="4"/>
      <c r="F51" s="3">
        <v>1</v>
      </c>
      <c r="G51" s="5">
        <v>0</v>
      </c>
      <c r="H51" s="5">
        <v>90</v>
      </c>
      <c r="I51" s="5">
        <v>2892.8571428571431</v>
      </c>
      <c r="J51" s="3">
        <v>1.5</v>
      </c>
      <c r="K51" s="10">
        <v>44.866666666666667</v>
      </c>
    </row>
    <row r="52" spans="1:11" x14ac:dyDescent="0.25">
      <c r="A52" s="9" t="s">
        <v>10</v>
      </c>
      <c r="B52" s="3" t="s">
        <v>71</v>
      </c>
      <c r="C52" s="3" t="s">
        <v>80</v>
      </c>
      <c r="D52" s="3" t="s">
        <v>81</v>
      </c>
      <c r="E52" s="4"/>
      <c r="F52" s="3">
        <v>1</v>
      </c>
      <c r="G52" s="5">
        <v>0</v>
      </c>
      <c r="H52" s="5">
        <v>40.583333333333336</v>
      </c>
      <c r="I52" s="5">
        <v>1304.4642857142858</v>
      </c>
      <c r="J52" s="3">
        <v>2.8</v>
      </c>
      <c r="K52" s="10">
        <v>21.925925925925927</v>
      </c>
    </row>
    <row r="53" spans="1:11" x14ac:dyDescent="0.25">
      <c r="A53" s="9" t="s">
        <v>10</v>
      </c>
      <c r="B53" s="3" t="s">
        <v>71</v>
      </c>
      <c r="C53" s="3" t="s">
        <v>82</v>
      </c>
      <c r="D53" s="3" t="s">
        <v>83</v>
      </c>
      <c r="E53" s="4"/>
      <c r="F53" s="3">
        <v>1</v>
      </c>
      <c r="G53" s="5">
        <v>0</v>
      </c>
      <c r="H53" s="5">
        <v>44.350877192982459</v>
      </c>
      <c r="I53" s="5">
        <v>1425.5639097744363</v>
      </c>
      <c r="J53" s="3">
        <v>2.8</v>
      </c>
      <c r="K53" s="10">
        <v>24.466666666666665</v>
      </c>
    </row>
    <row r="54" spans="1:11" x14ac:dyDescent="0.25">
      <c r="A54" s="9" t="s">
        <v>10</v>
      </c>
      <c r="B54" s="3" t="s">
        <v>71</v>
      </c>
      <c r="C54" s="3" t="s">
        <v>84</v>
      </c>
      <c r="D54" s="3" t="s">
        <v>85</v>
      </c>
      <c r="E54" s="4">
        <v>1</v>
      </c>
      <c r="F54" s="3">
        <v>1</v>
      </c>
      <c r="G54" s="5">
        <v>1311</v>
      </c>
      <c r="H54" s="5">
        <v>93.651162790697668</v>
      </c>
      <c r="I54" s="5">
        <v>3010.215946843854</v>
      </c>
      <c r="J54" s="3">
        <v>2.8</v>
      </c>
      <c r="K54" s="10">
        <v>50.06818181818182</v>
      </c>
    </row>
    <row r="55" spans="1:11" x14ac:dyDescent="0.25">
      <c r="A55" s="9" t="s">
        <v>10</v>
      </c>
      <c r="B55" s="3" t="s">
        <v>71</v>
      </c>
      <c r="C55" s="3" t="s">
        <v>86</v>
      </c>
      <c r="D55" s="3" t="s">
        <v>87</v>
      </c>
      <c r="E55" s="4">
        <v>1</v>
      </c>
      <c r="F55" s="3">
        <v>1</v>
      </c>
      <c r="G55" s="5">
        <v>212</v>
      </c>
      <c r="H55" s="5">
        <v>96.550724637681157</v>
      </c>
      <c r="I55" s="5">
        <v>3103.4161490683232</v>
      </c>
      <c r="J55" s="3">
        <v>3.2</v>
      </c>
      <c r="K55" s="10">
        <v>34.136986301369866</v>
      </c>
    </row>
    <row r="56" spans="1:11" x14ac:dyDescent="0.25">
      <c r="A56" s="9" t="s">
        <v>10</v>
      </c>
      <c r="B56" s="3" t="s">
        <v>71</v>
      </c>
      <c r="C56" s="3" t="s">
        <v>96</v>
      </c>
      <c r="D56" s="3" t="s">
        <v>97</v>
      </c>
      <c r="E56" s="4">
        <v>1</v>
      </c>
      <c r="F56" s="3">
        <v>1</v>
      </c>
      <c r="G56" s="5">
        <v>2115</v>
      </c>
      <c r="H56" s="5">
        <v>60.8</v>
      </c>
      <c r="I56" s="5">
        <v>1954.2857142857144</v>
      </c>
      <c r="J56" s="3">
        <v>0.96</v>
      </c>
      <c r="K56" s="10">
        <v>39.126436781609193</v>
      </c>
    </row>
    <row r="57" spans="1:11" x14ac:dyDescent="0.25">
      <c r="A57" s="9" t="s">
        <v>10</v>
      </c>
      <c r="B57" s="3" t="s">
        <v>98</v>
      </c>
      <c r="C57" s="3" t="s">
        <v>99</v>
      </c>
      <c r="D57" s="3" t="s">
        <v>100</v>
      </c>
      <c r="E57" s="4">
        <v>1</v>
      </c>
      <c r="F57" s="3">
        <v>1</v>
      </c>
      <c r="G57" s="5">
        <v>402</v>
      </c>
      <c r="H57" s="5">
        <v>18.070588235294117</v>
      </c>
      <c r="I57" s="5">
        <v>580.84033613445376</v>
      </c>
      <c r="J57" s="3">
        <v>5</v>
      </c>
      <c r="K57" s="10">
        <v>14.321839080459769</v>
      </c>
    </row>
    <row r="58" spans="1:11" x14ac:dyDescent="0.25">
      <c r="A58" s="9" t="s">
        <v>10</v>
      </c>
      <c r="B58" s="3" t="s">
        <v>98</v>
      </c>
      <c r="C58" s="3" t="s">
        <v>101</v>
      </c>
      <c r="D58" s="3" t="s">
        <v>102</v>
      </c>
      <c r="E58" s="4">
        <v>1</v>
      </c>
      <c r="F58" s="3">
        <v>1</v>
      </c>
      <c r="G58" s="5">
        <v>410</v>
      </c>
      <c r="H58" s="5">
        <v>5.3734939759036147</v>
      </c>
      <c r="I58" s="5">
        <v>172.71944922547334</v>
      </c>
      <c r="J58" s="3">
        <v>5</v>
      </c>
      <c r="K58" s="10">
        <v>4.6117647058823525</v>
      </c>
    </row>
    <row r="59" spans="1:11" x14ac:dyDescent="0.25">
      <c r="A59" s="9" t="s">
        <v>10</v>
      </c>
      <c r="B59" s="3" t="s">
        <v>98</v>
      </c>
      <c r="C59" s="3" t="s">
        <v>103</v>
      </c>
      <c r="D59" s="3" t="s">
        <v>104</v>
      </c>
      <c r="E59" s="4">
        <v>1</v>
      </c>
      <c r="F59" s="3">
        <v>1</v>
      </c>
      <c r="G59" s="5">
        <v>545</v>
      </c>
      <c r="H59" s="5">
        <v>25.1</v>
      </c>
      <c r="I59" s="5">
        <v>806.78571428571433</v>
      </c>
      <c r="J59" s="3">
        <v>5</v>
      </c>
      <c r="K59" s="10">
        <v>17.182926829268293</v>
      </c>
    </row>
    <row r="60" spans="1:11" x14ac:dyDescent="0.25">
      <c r="A60" s="9" t="s">
        <v>10</v>
      </c>
      <c r="B60" s="3" t="s">
        <v>98</v>
      </c>
      <c r="C60" s="3" t="s">
        <v>107</v>
      </c>
      <c r="D60" s="3" t="s">
        <v>108</v>
      </c>
      <c r="E60" s="4">
        <v>1</v>
      </c>
      <c r="F60" s="3">
        <v>1</v>
      </c>
      <c r="G60" s="5">
        <v>374</v>
      </c>
      <c r="H60" s="5">
        <v>10.597402597402597</v>
      </c>
      <c r="I60" s="5">
        <v>340.63079777365493</v>
      </c>
      <c r="J60" s="3">
        <v>4</v>
      </c>
      <c r="K60" s="10">
        <v>17.477272727272727</v>
      </c>
    </row>
    <row r="61" spans="1:11" x14ac:dyDescent="0.25">
      <c r="A61" s="9" t="s">
        <v>10</v>
      </c>
      <c r="B61" s="3" t="s">
        <v>98</v>
      </c>
      <c r="C61" s="3" t="s">
        <v>109</v>
      </c>
      <c r="D61" s="3" t="s">
        <v>110</v>
      </c>
      <c r="E61" s="4">
        <v>1</v>
      </c>
      <c r="F61" s="3">
        <v>1</v>
      </c>
      <c r="G61" s="5">
        <v>1319</v>
      </c>
      <c r="H61" s="5">
        <v>37.352941176470587</v>
      </c>
      <c r="I61" s="5">
        <v>1200.6302521008404</v>
      </c>
      <c r="J61" s="3">
        <v>4</v>
      </c>
      <c r="K61" s="10">
        <v>20.25</v>
      </c>
    </row>
    <row r="62" spans="1:11" x14ac:dyDescent="0.25">
      <c r="A62" s="9" t="s">
        <v>10</v>
      </c>
      <c r="B62" s="3" t="s">
        <v>111</v>
      </c>
      <c r="C62" s="3" t="s">
        <v>112</v>
      </c>
      <c r="D62" s="3" t="s">
        <v>113</v>
      </c>
      <c r="E62" s="4">
        <v>1</v>
      </c>
      <c r="F62" s="3">
        <v>1</v>
      </c>
      <c r="G62" s="5">
        <v>388</v>
      </c>
      <c r="H62" s="5">
        <v>8.1527777777777786</v>
      </c>
      <c r="I62" s="5">
        <v>262.0535714285715</v>
      </c>
      <c r="J62" s="3">
        <v>2.6999999999999997</v>
      </c>
      <c r="K62" s="10">
        <v>5.4</v>
      </c>
    </row>
    <row r="63" spans="1:11" x14ac:dyDescent="0.25">
      <c r="A63" s="9" t="s">
        <v>10</v>
      </c>
      <c r="B63" s="3" t="s">
        <v>111</v>
      </c>
      <c r="C63" s="3" t="s">
        <v>114</v>
      </c>
      <c r="D63" s="3" t="s">
        <v>115</v>
      </c>
      <c r="E63" s="4">
        <v>1</v>
      </c>
      <c r="F63" s="3">
        <v>1</v>
      </c>
      <c r="G63" s="5">
        <v>305</v>
      </c>
      <c r="H63" s="5">
        <v>8.1643835616438363</v>
      </c>
      <c r="I63" s="5">
        <v>262.42661448140905</v>
      </c>
      <c r="J63" s="3">
        <v>2.6999999999999997</v>
      </c>
      <c r="K63" s="10">
        <v>5.9740259740259738</v>
      </c>
    </row>
    <row r="64" spans="1:11" x14ac:dyDescent="0.25">
      <c r="A64" s="9" t="s">
        <v>10</v>
      </c>
      <c r="B64" s="3" t="s">
        <v>111</v>
      </c>
      <c r="C64" s="3" t="s">
        <v>122</v>
      </c>
      <c r="D64" s="3" t="s">
        <v>123</v>
      </c>
      <c r="E64" s="4">
        <v>1</v>
      </c>
      <c r="F64" s="3">
        <v>1</v>
      </c>
      <c r="G64" s="5">
        <v>408</v>
      </c>
      <c r="H64" s="5">
        <v>15.843373493975903</v>
      </c>
      <c r="I64" s="5">
        <v>509.25129087779692</v>
      </c>
      <c r="J64" s="3">
        <v>1.4000000000000001</v>
      </c>
      <c r="K64" s="10">
        <v>10.813953488372093</v>
      </c>
    </row>
    <row r="65" spans="1:11" x14ac:dyDescent="0.25">
      <c r="A65" s="9" t="s">
        <v>10</v>
      </c>
      <c r="B65" s="3" t="s">
        <v>111</v>
      </c>
      <c r="C65" s="3" t="s">
        <v>124</v>
      </c>
      <c r="D65" s="3" t="s">
        <v>125</v>
      </c>
      <c r="E65" s="4">
        <v>1</v>
      </c>
      <c r="F65" s="3">
        <v>1</v>
      </c>
      <c r="G65" s="5">
        <v>1336</v>
      </c>
      <c r="H65" s="5">
        <v>36.141176470588235</v>
      </c>
      <c r="I65" s="5">
        <v>1161.6806722689075</v>
      </c>
      <c r="J65" s="3">
        <v>2.6999999999999997</v>
      </c>
      <c r="K65" s="10">
        <v>25.03448275862069</v>
      </c>
    </row>
    <row r="66" spans="1:11" x14ac:dyDescent="0.25">
      <c r="A66" s="9" t="s">
        <v>10</v>
      </c>
      <c r="B66" s="3" t="s">
        <v>111</v>
      </c>
      <c r="C66" s="3" t="s">
        <v>126</v>
      </c>
      <c r="D66" s="3" t="s">
        <v>127</v>
      </c>
      <c r="E66" s="4">
        <v>1</v>
      </c>
      <c r="F66" s="3">
        <v>1</v>
      </c>
      <c r="G66" s="5">
        <v>575</v>
      </c>
      <c r="H66" s="5">
        <v>14.494117647058824</v>
      </c>
      <c r="I66" s="5">
        <v>465.88235294117652</v>
      </c>
      <c r="J66" s="3">
        <v>2.6999999999999997</v>
      </c>
      <c r="K66" s="10">
        <v>11.275862068965518</v>
      </c>
    </row>
    <row r="67" spans="1:11" x14ac:dyDescent="0.25">
      <c r="A67" s="9" t="s">
        <v>10</v>
      </c>
      <c r="B67" s="3" t="s">
        <v>111</v>
      </c>
      <c r="C67" s="3" t="s">
        <v>128</v>
      </c>
      <c r="D67" s="3" t="s">
        <v>129</v>
      </c>
      <c r="E67" s="4">
        <v>1</v>
      </c>
      <c r="F67" s="3">
        <v>1</v>
      </c>
      <c r="G67" s="5">
        <v>1021</v>
      </c>
      <c r="H67" s="5">
        <v>37.482352941176472</v>
      </c>
      <c r="I67" s="5">
        <v>1204.7899159663866</v>
      </c>
      <c r="J67" s="3">
        <v>2.6999999999999997</v>
      </c>
      <c r="K67" s="10">
        <v>26.057471264367816</v>
      </c>
    </row>
    <row r="68" spans="1:11" x14ac:dyDescent="0.25">
      <c r="A68" s="9" t="s">
        <v>10</v>
      </c>
      <c r="B68" s="3" t="s">
        <v>111</v>
      </c>
      <c r="C68" s="3" t="s">
        <v>130</v>
      </c>
      <c r="D68" s="3" t="s">
        <v>131</v>
      </c>
      <c r="E68" s="4">
        <v>1</v>
      </c>
      <c r="F68" s="3">
        <v>1</v>
      </c>
      <c r="G68" s="5">
        <v>165</v>
      </c>
      <c r="H68" s="5">
        <v>5.98</v>
      </c>
      <c r="I68" s="5">
        <v>192.21428571428575</v>
      </c>
      <c r="J68" s="3">
        <v>5.3999999999999995</v>
      </c>
      <c r="K68" s="10">
        <v>6.1785714285714288</v>
      </c>
    </row>
    <row r="69" spans="1:11" x14ac:dyDescent="0.25">
      <c r="A69" s="9" t="s">
        <v>10</v>
      </c>
      <c r="B69" s="3" t="s">
        <v>111</v>
      </c>
      <c r="C69" s="3" t="s">
        <v>134</v>
      </c>
      <c r="D69" s="3" t="s">
        <v>135</v>
      </c>
      <c r="E69" s="4">
        <v>1</v>
      </c>
      <c r="F69" s="3">
        <v>1</v>
      </c>
      <c r="G69" s="5">
        <v>151</v>
      </c>
      <c r="H69" s="5">
        <v>7.1707317073170733</v>
      </c>
      <c r="I69" s="5">
        <v>230.48780487804879</v>
      </c>
      <c r="J69" s="3">
        <v>5.3999999999999995</v>
      </c>
      <c r="K69" s="10">
        <v>6.1728395061728394</v>
      </c>
    </row>
    <row r="70" spans="1:11" x14ac:dyDescent="0.25">
      <c r="A70" s="9" t="s">
        <v>10</v>
      </c>
      <c r="B70" s="3" t="s">
        <v>111</v>
      </c>
      <c r="C70" s="3" t="s">
        <v>136</v>
      </c>
      <c r="D70" s="3" t="s">
        <v>137</v>
      </c>
      <c r="E70" s="4">
        <v>1</v>
      </c>
      <c r="F70" s="3">
        <v>1</v>
      </c>
      <c r="G70" s="5">
        <v>233</v>
      </c>
      <c r="H70" s="5">
        <v>7.9090909090909092</v>
      </c>
      <c r="I70" s="5">
        <v>254.22077922077926</v>
      </c>
      <c r="J70" s="3">
        <v>5.3999999999999995</v>
      </c>
      <c r="K70" s="10">
        <v>7.024096385542169</v>
      </c>
    </row>
    <row r="71" spans="1:11" x14ac:dyDescent="0.25">
      <c r="A71" s="9" t="s">
        <v>10</v>
      </c>
      <c r="B71" s="3" t="s">
        <v>111</v>
      </c>
      <c r="C71" s="3" t="s">
        <v>138</v>
      </c>
      <c r="D71" s="3" t="s">
        <v>139</v>
      </c>
      <c r="E71" s="4"/>
      <c r="F71" s="3">
        <v>1</v>
      </c>
      <c r="G71" s="5">
        <v>0</v>
      </c>
      <c r="H71" s="5"/>
      <c r="I71" s="5"/>
      <c r="J71" s="3">
        <v>3.2399999999999998</v>
      </c>
      <c r="K71" s="10"/>
    </row>
    <row r="72" spans="1:11" x14ac:dyDescent="0.25">
      <c r="A72" s="9" t="s">
        <v>10</v>
      </c>
      <c r="B72" s="3" t="s">
        <v>111</v>
      </c>
      <c r="C72" s="3" t="s">
        <v>142</v>
      </c>
      <c r="D72" s="3" t="s">
        <v>143</v>
      </c>
      <c r="E72" s="4">
        <v>1</v>
      </c>
      <c r="F72" s="3">
        <v>1</v>
      </c>
      <c r="G72" s="5">
        <v>1228</v>
      </c>
      <c r="H72" s="5">
        <v>64.488095238095241</v>
      </c>
      <c r="I72" s="5">
        <v>2072.8316326530612</v>
      </c>
      <c r="J72" s="3">
        <v>2.52</v>
      </c>
      <c r="K72" s="10">
        <v>36.058139534883722</v>
      </c>
    </row>
    <row r="73" spans="1:11" x14ac:dyDescent="0.25">
      <c r="A73" s="9" t="s">
        <v>10</v>
      </c>
      <c r="B73" s="3" t="s">
        <v>146</v>
      </c>
      <c r="C73" s="3" t="s">
        <v>147</v>
      </c>
      <c r="D73" s="3" t="s">
        <v>148</v>
      </c>
      <c r="E73" s="4">
        <v>1</v>
      </c>
      <c r="F73" s="3">
        <v>1</v>
      </c>
      <c r="G73" s="5">
        <v>457</v>
      </c>
      <c r="H73" s="5">
        <v>75.785714285714292</v>
      </c>
      <c r="I73" s="5">
        <v>2435.9693877551022</v>
      </c>
      <c r="J73" s="3">
        <v>1.2000000000000002</v>
      </c>
      <c r="K73" s="10">
        <v>36.932203389830505</v>
      </c>
    </row>
    <row r="74" spans="1:11" x14ac:dyDescent="0.25">
      <c r="A74" s="9" t="s">
        <v>10</v>
      </c>
      <c r="B74" s="3" t="s">
        <v>146</v>
      </c>
      <c r="C74" s="3" t="s">
        <v>149</v>
      </c>
      <c r="D74" s="3" t="s">
        <v>150</v>
      </c>
      <c r="E74" s="4">
        <v>1</v>
      </c>
      <c r="F74" s="3">
        <v>1</v>
      </c>
      <c r="G74" s="5">
        <v>11</v>
      </c>
      <c r="H74" s="5">
        <v>55.446808510638299</v>
      </c>
      <c r="I74" s="5">
        <v>1782.2188449848027</v>
      </c>
      <c r="J74" s="3">
        <v>1.2000000000000002</v>
      </c>
      <c r="K74" s="10">
        <v>28.82</v>
      </c>
    </row>
    <row r="75" spans="1:11" x14ac:dyDescent="0.25">
      <c r="A75" s="9" t="s">
        <v>10</v>
      </c>
      <c r="B75" s="3" t="s">
        <v>146</v>
      </c>
      <c r="C75" s="3" t="s">
        <v>151</v>
      </c>
      <c r="D75" s="3" t="s">
        <v>152</v>
      </c>
      <c r="E75" s="4">
        <v>1</v>
      </c>
      <c r="F75" s="3">
        <v>1</v>
      </c>
      <c r="G75" s="5">
        <v>530</v>
      </c>
      <c r="H75" s="5">
        <v>65.786885245901644</v>
      </c>
      <c r="I75" s="5">
        <v>2114.5784543325531</v>
      </c>
      <c r="J75" s="3">
        <v>1.2000000000000002</v>
      </c>
      <c r="K75" s="10">
        <v>33.682539682539684</v>
      </c>
    </row>
    <row r="76" spans="1:11" x14ac:dyDescent="0.25">
      <c r="A76" s="9" t="s">
        <v>10</v>
      </c>
      <c r="B76" s="3" t="s">
        <v>146</v>
      </c>
      <c r="C76" s="3" t="s">
        <v>153</v>
      </c>
      <c r="D76" s="3" t="s">
        <v>154</v>
      </c>
      <c r="E76" s="4">
        <v>1</v>
      </c>
      <c r="F76" s="3">
        <v>1</v>
      </c>
      <c r="G76" s="5">
        <v>345</v>
      </c>
      <c r="H76" s="5">
        <v>135.84848484848484</v>
      </c>
      <c r="I76" s="5">
        <v>4366.5584415584417</v>
      </c>
      <c r="J76" s="3">
        <v>1.2000000000000002</v>
      </c>
      <c r="K76" s="10">
        <v>36.342105263157897</v>
      </c>
    </row>
    <row r="77" spans="1:11" x14ac:dyDescent="0.25">
      <c r="A77" s="9" t="s">
        <v>10</v>
      </c>
      <c r="B77" s="3" t="s">
        <v>146</v>
      </c>
      <c r="C77" s="3" t="s">
        <v>155</v>
      </c>
      <c r="D77" s="3" t="s">
        <v>156</v>
      </c>
      <c r="E77" s="4"/>
      <c r="F77" s="3">
        <v>1</v>
      </c>
      <c r="G77" s="5">
        <v>0</v>
      </c>
      <c r="H77" s="5"/>
      <c r="I77" s="5"/>
      <c r="J77" s="3">
        <v>0.89999999999999991</v>
      </c>
      <c r="K77" s="10"/>
    </row>
    <row r="78" spans="1:11" x14ac:dyDescent="0.25">
      <c r="A78" s="9" t="s">
        <v>10</v>
      </c>
      <c r="B78" s="3" t="s">
        <v>146</v>
      </c>
      <c r="C78" s="3" t="s">
        <v>157</v>
      </c>
      <c r="D78" s="3" t="s">
        <v>158</v>
      </c>
      <c r="E78" s="4">
        <v>1</v>
      </c>
      <c r="F78" s="3">
        <v>1</v>
      </c>
      <c r="G78" s="5">
        <v>448</v>
      </c>
      <c r="H78" s="5">
        <v>100.77500000000001</v>
      </c>
      <c r="I78" s="5">
        <v>3239.1964285714289</v>
      </c>
      <c r="J78" s="3">
        <v>0.89999999999999991</v>
      </c>
      <c r="K78" s="10">
        <v>38.095238095238095</v>
      </c>
    </row>
    <row r="79" spans="1:11" x14ac:dyDescent="0.25">
      <c r="A79" s="9" t="s">
        <v>10</v>
      </c>
      <c r="B79" s="3" t="s">
        <v>146</v>
      </c>
      <c r="C79" s="3" t="s">
        <v>159</v>
      </c>
      <c r="D79" s="3" t="s">
        <v>160</v>
      </c>
      <c r="E79" s="4"/>
      <c r="F79" s="3">
        <v>1</v>
      </c>
      <c r="G79" s="5">
        <v>0</v>
      </c>
      <c r="H79" s="5"/>
      <c r="I79" s="5"/>
      <c r="J79" s="3">
        <v>0.89999999999999991</v>
      </c>
      <c r="K79" s="10"/>
    </row>
    <row r="80" spans="1:11" x14ac:dyDescent="0.25">
      <c r="A80" s="9" t="s">
        <v>10</v>
      </c>
      <c r="B80" s="3" t="s">
        <v>146</v>
      </c>
      <c r="C80" s="3" t="s">
        <v>161</v>
      </c>
      <c r="D80" s="3" t="s">
        <v>162</v>
      </c>
      <c r="E80" s="4"/>
      <c r="F80" s="3">
        <v>1</v>
      </c>
      <c r="G80" s="5">
        <v>0</v>
      </c>
      <c r="H80" s="5"/>
      <c r="I80" s="5"/>
      <c r="J80" s="3">
        <v>0.89999999999999991</v>
      </c>
      <c r="K80" s="10"/>
    </row>
    <row r="81" spans="1:11" x14ac:dyDescent="0.25">
      <c r="A81" s="9" t="s">
        <v>10</v>
      </c>
      <c r="B81" s="3" t="s">
        <v>146</v>
      </c>
      <c r="C81" s="3" t="s">
        <v>163</v>
      </c>
      <c r="D81" s="3" t="s">
        <v>164</v>
      </c>
      <c r="E81" s="4"/>
      <c r="F81" s="3">
        <v>1</v>
      </c>
      <c r="G81" s="5">
        <v>0</v>
      </c>
      <c r="H81" s="5"/>
      <c r="I81" s="5"/>
      <c r="J81" s="3">
        <v>3</v>
      </c>
      <c r="K81" s="10"/>
    </row>
    <row r="82" spans="1:11" x14ac:dyDescent="0.25">
      <c r="A82" s="9" t="s">
        <v>10</v>
      </c>
      <c r="B82" s="3" t="s">
        <v>146</v>
      </c>
      <c r="C82" s="3" t="s">
        <v>165</v>
      </c>
      <c r="D82" s="3" t="s">
        <v>166</v>
      </c>
      <c r="E82" s="4">
        <v>1</v>
      </c>
      <c r="F82" s="3">
        <v>1</v>
      </c>
      <c r="G82" s="5">
        <v>1669</v>
      </c>
      <c r="H82" s="5">
        <v>128.06578947368422</v>
      </c>
      <c r="I82" s="5">
        <v>4116.4003759398502</v>
      </c>
      <c r="J82" s="3">
        <v>2.4000000000000004</v>
      </c>
      <c r="K82" s="10">
        <v>69.871794871794876</v>
      </c>
    </row>
    <row r="83" spans="1:11" x14ac:dyDescent="0.25">
      <c r="A83" s="9" t="s">
        <v>10</v>
      </c>
      <c r="B83" s="3" t="s">
        <v>146</v>
      </c>
      <c r="C83" s="3" t="s">
        <v>167</v>
      </c>
      <c r="D83" s="3" t="s">
        <v>168</v>
      </c>
      <c r="E83" s="4">
        <v>1</v>
      </c>
      <c r="F83" s="3">
        <v>1</v>
      </c>
      <c r="G83" s="5">
        <v>1799</v>
      </c>
      <c r="H83" s="5">
        <v>114.04347826086956</v>
      </c>
      <c r="I83" s="5">
        <v>3665.6832298136646</v>
      </c>
      <c r="J83" s="3">
        <v>4.1999999999999993</v>
      </c>
      <c r="K83" s="10">
        <v>58.578947368421055</v>
      </c>
    </row>
    <row r="84" spans="1:11" x14ac:dyDescent="0.25">
      <c r="A84" s="9" t="s">
        <v>10</v>
      </c>
      <c r="B84" s="3" t="s">
        <v>146</v>
      </c>
      <c r="C84" s="3" t="s">
        <v>169</v>
      </c>
      <c r="D84" s="3" t="s">
        <v>170</v>
      </c>
      <c r="E84" s="4"/>
      <c r="F84" s="3">
        <v>1</v>
      </c>
      <c r="G84" s="5">
        <v>0</v>
      </c>
      <c r="H84" s="5">
        <v>16</v>
      </c>
      <c r="I84" s="5">
        <v>514.28571428571433</v>
      </c>
      <c r="J84" s="3">
        <v>5</v>
      </c>
      <c r="K84" s="10">
        <v>18.8</v>
      </c>
    </row>
    <row r="85" spans="1:11" x14ac:dyDescent="0.25">
      <c r="A85" s="9" t="s">
        <v>10</v>
      </c>
      <c r="B85" s="3" t="s">
        <v>146</v>
      </c>
      <c r="C85" s="3" t="s">
        <v>171</v>
      </c>
      <c r="D85" s="3" t="s">
        <v>172</v>
      </c>
      <c r="E85" s="4"/>
      <c r="F85" s="3">
        <v>1</v>
      </c>
      <c r="G85" s="5">
        <v>0</v>
      </c>
      <c r="H85" s="5"/>
      <c r="I85" s="5"/>
      <c r="J85" s="3">
        <v>3</v>
      </c>
      <c r="K85" s="10"/>
    </row>
    <row r="86" spans="1:11" x14ac:dyDescent="0.25">
      <c r="A86" s="9" t="s">
        <v>10</v>
      </c>
      <c r="B86" s="3" t="s">
        <v>146</v>
      </c>
      <c r="C86" s="3" t="s">
        <v>177</v>
      </c>
      <c r="D86" s="3" t="s">
        <v>178</v>
      </c>
      <c r="E86" s="4">
        <v>1</v>
      </c>
      <c r="F86" s="3">
        <v>1</v>
      </c>
      <c r="G86" s="5">
        <v>233</v>
      </c>
      <c r="H86" s="5">
        <v>33.83098591549296</v>
      </c>
      <c r="I86" s="5">
        <v>1087.4245472837024</v>
      </c>
      <c r="J86" s="3">
        <v>9</v>
      </c>
      <c r="K86" s="10">
        <v>39.07692307692308</v>
      </c>
    </row>
    <row r="87" spans="1:11" x14ac:dyDescent="0.25">
      <c r="A87" s="9" t="s">
        <v>10</v>
      </c>
      <c r="B87" s="3" t="s">
        <v>146</v>
      </c>
      <c r="C87" s="3" t="s">
        <v>179</v>
      </c>
      <c r="D87" s="3" t="s">
        <v>180</v>
      </c>
      <c r="E87" s="4">
        <v>1</v>
      </c>
      <c r="F87" s="3">
        <v>1</v>
      </c>
      <c r="G87" s="5">
        <v>1828</v>
      </c>
      <c r="H87" s="5">
        <v>92.720930232558146</v>
      </c>
      <c r="I87" s="5">
        <v>2980.3156146179404</v>
      </c>
      <c r="J87" s="3">
        <v>3</v>
      </c>
      <c r="K87" s="10">
        <v>46.227272727272727</v>
      </c>
    </row>
    <row r="88" spans="1:11" x14ac:dyDescent="0.25">
      <c r="A88" s="16" t="s">
        <v>58</v>
      </c>
      <c r="B88" s="11"/>
      <c r="C88" s="11"/>
      <c r="D88" s="11"/>
      <c r="E88" s="12">
        <f>SUBTOTAL(109,Table1[כמות מוצרים במלאי])</f>
        <v>47</v>
      </c>
      <c r="F88" s="13">
        <f>SUBTOTAL(109,Table1[פעיל מק"ט])</f>
        <v>86</v>
      </c>
      <c r="G88" s="13"/>
      <c r="H88" s="13"/>
      <c r="I88" s="13"/>
      <c r="J88" s="13"/>
      <c r="K88" s="14">
        <f>SUBTOTAL(109,Table1[כמות לקוחות שהזמנינו for -מכר- average per Date])</f>
        <v>1518.8511343880036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Sverdlik</dc:creator>
  <cp:lastModifiedBy>Dan Sverdlik</cp:lastModifiedBy>
  <dcterms:created xsi:type="dcterms:W3CDTF">2026-05-10T12:57:02Z</dcterms:created>
  <dcterms:modified xsi:type="dcterms:W3CDTF">2026-05-10T12:57:02Z</dcterms:modified>
</cp:coreProperties>
</file>