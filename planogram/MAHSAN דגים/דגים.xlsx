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sverdlik\Desktop\WORKSPACE\PLANOGRAM MAHSAN FORMULA\MAHSAN דגים\"/>
    </mc:Choice>
  </mc:AlternateContent>
  <xr:revisionPtr revIDLastSave="0" documentId="8_{02F9F79E-ECCD-4D3D-BB1C-AF88A71B1B3F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1" l="1"/>
  <c r="F77" i="1"/>
  <c r="K77" i="1"/>
</calcChain>
</file>

<file path=xl/sharedStrings.xml><?xml version="1.0" encoding="utf-8"?>
<sst xmlns="http://schemas.openxmlformats.org/spreadsheetml/2006/main" count="312" uniqueCount="167">
  <si>
    <t>מחלקה</t>
  </si>
  <si>
    <t>תאור משפחה</t>
  </si>
  <si>
    <t>מק"ט</t>
  </si>
  <si>
    <t>תאור</t>
  </si>
  <si>
    <t>כמות מוצרים במלאי</t>
  </si>
  <si>
    <t>פעיל מק"ט</t>
  </si>
  <si>
    <t>מלאי KARTON</t>
  </si>
  <si>
    <t xml:space="preserve">מכר קרט. ממוצע ביום </t>
  </si>
  <si>
    <t>מלאי בטחון KARTON</t>
  </si>
  <si>
    <t>WEIGHT KARTON average per מק"ט</t>
  </si>
  <si>
    <t>כמות לקוחות שהזמנינו for -מכר- average per Date</t>
  </si>
  <si>
    <t xml:space="preserve">דגים </t>
  </si>
  <si>
    <t>‭NORD PORT םיגד‬</t>
  </si>
  <si>
    <t>1000</t>
  </si>
  <si>
    <t>‭(3)'ג1200 ןנוצמ ןמשב חלמומ גנירה גד הליפ‬</t>
  </si>
  <si>
    <t>1001</t>
  </si>
  <si>
    <t>‭(3)'ג1200 ןנוצמ ןמשב חלמומיבנידנקס  גנירה גד הליפ‬</t>
  </si>
  <si>
    <t>1002</t>
  </si>
  <si>
    <t>‭(3)'ג1200 ןנוצמ ןמשב חלמומ גנירה גד הליפ תוכיתח‬</t>
  </si>
  <si>
    <t>1003</t>
  </si>
  <si>
    <t>‭(3)'ג1200 ןילבת םע ןנוצמ ןמשב חלמומ גנירה גד הליפ תוכיתח‬</t>
  </si>
  <si>
    <t>1004</t>
  </si>
  <si>
    <t>‭(3)'ג1200 ןנוצמ ןמשב חלמומ יבנידנקס  גנירה גד הליפ תוכיתח‬</t>
  </si>
  <si>
    <t>1106</t>
  </si>
  <si>
    <t>‭(6)'ג230 לרופ גד ירודכ םודא ראיווק ןונגסב‬</t>
  </si>
  <si>
    <t>1107</t>
  </si>
  <si>
    <t>‭(6)'ג230 לרופ גד ירודכ רוחש ראיווק ןונגסב‬</t>
  </si>
  <si>
    <t>1122</t>
  </si>
  <si>
    <t>‭NP(6) םרג 180 הנבל הרקיא טלס‬</t>
  </si>
  <si>
    <t>1123</t>
  </si>
  <si>
    <t>‭NP(6) םרג 180 הדורו הרקיא טלס‬</t>
  </si>
  <si>
    <t>1124</t>
  </si>
  <si>
    <t>‭NP(6) םרג 180 םינשועמ ןומלסו לרופ םע הרקיא טלס‬</t>
  </si>
  <si>
    <t>1125</t>
  </si>
  <si>
    <t>‭NP(8) םרג 900 הנבל הרקיא טלס‬</t>
  </si>
  <si>
    <t>1126</t>
  </si>
  <si>
    <t>‭NP(8) םרג 900 הדורו הרקיא טלס‬</t>
  </si>
  <si>
    <t>1127</t>
  </si>
  <si>
    <t>‭NP(8) םרג 900 םינשועמ ןומלסו לרופ םע הרקיא טלס‬</t>
  </si>
  <si>
    <t>1154</t>
  </si>
  <si>
    <t>‭(11)'ג230 ןנוצמ ןמשב חלמומ גנירה גד הליפ‬</t>
  </si>
  <si>
    <t>1157</t>
  </si>
  <si>
    <t>‭(6)'ג400 ןמשב ץוצק גנירה הליפ‬</t>
  </si>
  <si>
    <t>1163</t>
  </si>
  <si>
    <t>‭(10)'ג150 ןנוצמ ןמשב חלמומ גנירה גד הליפ תוכית‬</t>
  </si>
  <si>
    <t>1164</t>
  </si>
  <si>
    <t>‭(10)'ג150 ןנוצמ ןמשב לצב םע חלמומ גנירה גד הליפ תוכיתח‬</t>
  </si>
  <si>
    <t>1165</t>
  </si>
  <si>
    <t>‭(6)'ג400 ןנוצמ ןמשב חלמומ גנירה גד הליפ‬</t>
  </si>
  <si>
    <t>1166</t>
  </si>
  <si>
    <t>‭(6)'ג500 ןנוצמ ןמשב חלמומ גנירה גד הליפ תוכיתח‬</t>
  </si>
  <si>
    <t>1167</t>
  </si>
  <si>
    <t>‭(6)'ג500 ןנוצמ ןמשב חלמומ יבנידנקס גנירה גד הליפ תוכיתח‬</t>
  </si>
  <si>
    <t>1168</t>
  </si>
  <si>
    <t>‭(6)'ג500  ןילבת םע ןנוצמ ןמשב חלמומ גנירה גד הליפ תוכיתח‬</t>
  </si>
  <si>
    <t>1169</t>
  </si>
  <si>
    <t>‭(6)'ג850 ןנוצמ הדנירמב חלמומ םלש גנירה גד‬</t>
  </si>
  <si>
    <t>1170</t>
  </si>
  <si>
    <t>‭(6)'ג290 ןנוצמ ןמשב חלמומ גנירה גד הליפ תוכיתח‬</t>
  </si>
  <si>
    <t>1171</t>
  </si>
  <si>
    <t>‭(6)'ג290 לצב םע ןנוצמ ןמשב חלמומ גנירה גד הליפ תוכיתח‬</t>
  </si>
  <si>
    <t>1172</t>
  </si>
  <si>
    <t>‭(6)'ג290 ןילבת םע ןנוצמ ןמשב חלמומ גנירה גד הליפ תוכיתח‬</t>
  </si>
  <si>
    <t>1173</t>
  </si>
  <si>
    <t>‭(6)'ג290 ןנוצמ ןמשב חלמומ יבנידנקס  גנירה גד הליפ תוכיתח‬</t>
  </si>
  <si>
    <t>400001</t>
  </si>
  <si>
    <t>‭6)NP)ג500  "לאיצניבורפ" ןנוצמ םיתיזו לצב םע גנירה הליפ יחתנ‬</t>
  </si>
  <si>
    <t>400002</t>
  </si>
  <si>
    <t>‭6)NP)ג520  ןנוצמ לצב םע שובכ גנירה הליפ יחתנ‬</t>
  </si>
  <si>
    <t>400003</t>
  </si>
  <si>
    <t>‭6)NP)ג500 ןנוצמ ןמשב רימש םע חלמומ גנירה הליפ יחתנ‬</t>
  </si>
  <si>
    <t>Total</t>
  </si>
  <si>
    <t>‭NORD PORT ןנוצמ לרופ/ןומלס‬</t>
  </si>
  <si>
    <t>403001</t>
  </si>
  <si>
    <t>‭NP(10) םרג100 ןנוצמ סורפ ןשועמ  ןומלס הליפ‬</t>
  </si>
  <si>
    <t>403002</t>
  </si>
  <si>
    <t>‭NP(10) םרג100 ןנוצמ סורפ ןשועמ לרופ הליפ‬</t>
  </si>
  <si>
    <t>403003</t>
  </si>
  <si>
    <t>‭NP(9) םרג250 ןנוצמ סורפ ןשועמ  ןומלס הליפ‬</t>
  </si>
  <si>
    <t>403004</t>
  </si>
  <si>
    <t>‭NP(9) םרג250 ןנוצמ סורפ ןשועמ  לרופ הליפ‬</t>
  </si>
  <si>
    <t>403005</t>
  </si>
  <si>
    <t>‭NP(5) םרג200 ןנוצמ ןשועמ  ןומלס הליפ‬</t>
  </si>
  <si>
    <t>403006</t>
  </si>
  <si>
    <t>‭NP(5) םרג200 ןנוצמ ןשועמ  לרופ הליפ‬</t>
  </si>
  <si>
    <t>403007</t>
  </si>
  <si>
    <t>‭8) NP) םרג150 ןנוצמ םח ןושיעב חלמומ לרקמ הליפ‬</t>
  </si>
  <si>
    <t>403008</t>
  </si>
  <si>
    <t>‭8) NP) םרג150 סורג רוחש לפלפ םע םח ןושיעב חלמומ לרקמ הליפ‬</t>
  </si>
  <si>
    <t>‭RUSSIAN SEA םיגד‬</t>
  </si>
  <si>
    <t>1147</t>
  </si>
  <si>
    <t>‭(6)'ג500 ןמשב גנירה הליפ תוכיתח‬</t>
  </si>
  <si>
    <t>1148</t>
  </si>
  <si>
    <t>‭(6)'ג500 ןמשב רימש םע גנירה הליפ תוכיתח‬</t>
  </si>
  <si>
    <t>1149</t>
  </si>
  <si>
    <t>‭(6)'ג500 ןמשב ןשועמ םעטב גנירה הליפ תוכיתח‬</t>
  </si>
  <si>
    <t>1150</t>
  </si>
  <si>
    <t>‭(10)'ג150 ןמשב גנירה הליפ תוכיתח‬</t>
  </si>
  <si>
    <t>1156</t>
  </si>
  <si>
    <t>‭(6)'ג400 ןמשב גנירה הליפ‬</t>
  </si>
  <si>
    <t>‭SANTA BREMOR םיגד‬</t>
  </si>
  <si>
    <t>1005</t>
  </si>
  <si>
    <t>‭(6)'ג400 ןנוצמ חולמ גנירה גד הליפ תוכיתח‬</t>
  </si>
  <si>
    <t>1006</t>
  </si>
  <si>
    <t>‭(3)'ג1000 ןנוצמ ןמשב חלמומ גנירה גד הליפ‬</t>
  </si>
  <si>
    <t>1008</t>
  </si>
  <si>
    <t>‭(10)'ג250 ןילבת םע ןנוצמ חולמ גנירה גד הליפ‬</t>
  </si>
  <si>
    <t>1009</t>
  </si>
  <si>
    <t>‭(12)'ג200 ןילבת םע ןנוצמ חולמ גנירה הליפ תוכיתח‬</t>
  </si>
  <si>
    <t>1010</t>
  </si>
  <si>
    <t>‭(12)'ג200 ןנוצמ חולמ גנירה גד הליפ תוכיתח‬</t>
  </si>
  <si>
    <t>1011</t>
  </si>
  <si>
    <t>‭(10)'ג250 ןנוצמ חולמ גנירה גד הליפ תוכיתח‬</t>
  </si>
  <si>
    <t>1012</t>
  </si>
  <si>
    <t>‭(6)'ג260 לצב םע ןנוצמ חולמ גנירה גד הליפ תוכיתח‬</t>
  </si>
  <si>
    <t>1013</t>
  </si>
  <si>
    <t>‭(6)ג260 ןילבת םע ןנוצמ חולמ גנירה גד הליפ תוכיתח‬</t>
  </si>
  <si>
    <t>1014</t>
  </si>
  <si>
    <t>‭(6)'ג260 ןנוצמ חולמ גנירה גד הליפ תוכיתח‬</t>
  </si>
  <si>
    <t>1015</t>
  </si>
  <si>
    <t>‭(6)'ג180 גנירהו תינוטורט גד יציב הרקיא‬</t>
  </si>
  <si>
    <t>1017</t>
  </si>
  <si>
    <t>‭(6)'ג180 ןומלסו לרופ םע גנירהו תינוטורט גד יציב הרקיא‬</t>
  </si>
  <si>
    <t>1018</t>
  </si>
  <si>
    <t>‭(6)'ג180 םינוליסח םע יטנלטא תינוטורט גד יציב‬</t>
  </si>
  <si>
    <t>1019</t>
  </si>
  <si>
    <t>‭(12)'ג130 ןנוצמ חלמומ ןונבהז גד יציב‬</t>
  </si>
  <si>
    <t>1020</t>
  </si>
  <si>
    <t>‭(12)'ג130 ןנוצמ חלמומ יטנלטא טוביש גד יציב‬</t>
  </si>
  <si>
    <t>1022</t>
  </si>
  <si>
    <t>‭(12)'ג110 ןנוצמ חלמומ יטנלטא גנירה גד יציב‬</t>
  </si>
  <si>
    <t>1023</t>
  </si>
  <si>
    <t>‭(10)'ג150 תוצמחומ םי תוצא‬</t>
  </si>
  <si>
    <t>1024</t>
  </si>
  <si>
    <t>‭(10)'ג150 תוירטפ םע תוצמחומ םי תוצא‬</t>
  </si>
  <si>
    <t>1025</t>
  </si>
  <si>
    <t>‭(10)'ג150 םיליצח םע תוצמחומ םי תוצא‬</t>
  </si>
  <si>
    <t>1026</t>
  </si>
  <si>
    <t>‭(10)'ג150 רזג םע תוצמחומ םי תוצא‬</t>
  </si>
  <si>
    <t>1029</t>
  </si>
  <si>
    <t>‭(6)'ג150 םוש תנמש בטורב לירק םע חרממ‬</t>
  </si>
  <si>
    <t>1047</t>
  </si>
  <si>
    <t>‭(6)'ג400 ןמשב חולמ לבותמ גנירה גד הליפ תוכיתח‬</t>
  </si>
  <si>
    <t>1048</t>
  </si>
  <si>
    <t>‭(6)'ג400 ןמשב חולמ יבנידנקס גנירה גד הליפ תוכיתח‬</t>
  </si>
  <si>
    <t>1049</t>
  </si>
  <si>
    <t>‭(6)'ג260 ןנוצמ חולמ יבנידנקס גנירה גד הליפ תוכיתח‬</t>
  </si>
  <si>
    <t>1055</t>
  </si>
  <si>
    <t>‭(12)'ג200 תוצמחומ םי תוצא טלס‬</t>
  </si>
  <si>
    <t>1056</t>
  </si>
  <si>
    <t>‭(12)'ג200 רזג םע תולבותמו תוצמחומ םי תוצא טלס‬</t>
  </si>
  <si>
    <t>1057</t>
  </si>
  <si>
    <t>‭(12)'ג200 הקותמ הקירפפו לצב םע תוצמחומ םי תוצא טלס‬</t>
  </si>
  <si>
    <t>1108</t>
  </si>
  <si>
    <t>‭(6)'ג150 הקו'צ-םי תוצא טלס‬</t>
  </si>
  <si>
    <t>1109</t>
  </si>
  <si>
    <t>‭(6)'ג180 ןומלסו לרופ,ודקבא םע גנירהו תינוטורט גד יציב הרקיא‬</t>
  </si>
  <si>
    <t>1120</t>
  </si>
  <si>
    <t>‭(10)'ג250 ןנוצמ חולמ יבנידנקס גנירה גד הליפ‬</t>
  </si>
  <si>
    <t>1174</t>
  </si>
  <si>
    <t>‭(6)'ג300 ןנוצמ ןמשב XXL חלמומ גנירה גד הליפ‬</t>
  </si>
  <si>
    <t>1175</t>
  </si>
  <si>
    <t>‭(3)'ג1000 ןנוצמ ןמשב חלמומ יבנידנקס גנירה גד הליפ‬</t>
  </si>
  <si>
    <t>1176</t>
  </si>
  <si>
    <t>‭(6)'ג150 ןנוצמ ודקובא םע יטקרטנא לירק חרממ‬</t>
  </si>
  <si>
    <t>1177</t>
  </si>
  <si>
    <t>‭(6)'ג150 ןנוצמ תנמש בטורב םילשובמ םינוליסחו םינונויד חרממ‬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</si>
</sst>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29"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E1B04-1A54-47E3-B8CD-05DCA59639D2}" name="Table1" displayName="Table1" ref="A1:K77" totalsRowCount="1" headerRowDxfId="13" dataDxfId="28" headerRowBorderDxfId="26" tableBorderDxfId="27" totalsRowBorderDxfId="25">
  <autoFilter ref="A1:K76" xr:uid="{7C5E1B04-1A54-47E3-B8CD-05DCA59639D2}"/>
  <sortState xmlns:xlrd2="http://schemas.microsoft.com/office/spreadsheetml/2017/richdata2" ref="A2:K76">
    <sortCondition sortBy="cellColor" ref="F1:F76" dxfId="1"/>
  </sortState>
  <tableColumns count="11">
    <tableColumn id="1" xr3:uid="{F2EAE101-9194-434D-B071-C668392E887C}" name="מחלקה" totalsRowLabel="Total" dataDxfId="24" totalsRowDxfId="12"/>
    <tableColumn id="2" xr3:uid="{875F4FE4-80DF-442B-A40B-27B784E9F9D9}" name="תאור משפחה" dataDxfId="23" totalsRowDxfId="11"/>
    <tableColumn id="3" xr3:uid="{832B85F2-A2E7-4D80-8F05-055110BBC940}" name="מק&quot;ט" dataDxfId="22" totalsRowDxfId="10"/>
    <tableColumn id="4" xr3:uid="{9B099083-0966-4FDB-9CD6-EC23B166348A}" name="תאור" dataDxfId="21" totalsRowDxfId="9"/>
    <tableColumn id="5" xr3:uid="{BF057553-54D8-4A8B-9CE2-83EBB879C872}" name="כמות מוצרים במלאי" totalsRowFunction="sum" dataDxfId="20" totalsRowDxfId="2"/>
    <tableColumn id="6" xr3:uid="{EC6FE75C-D4AF-46AE-8079-C34C277AC861}" name="פעיל מק&quot;ט" totalsRowFunction="sum" dataDxfId="19" totalsRowDxfId="3"/>
    <tableColumn id="7" xr3:uid="{F303BB58-0AED-4AF5-8110-9B58337465FC}" name="מלאי KARTON" dataDxfId="18" totalsRowDxfId="8"/>
    <tableColumn id="8" xr3:uid="{D0586285-786C-4CA2-B00B-154F759C4FC2}" name="מכר קרט. ממוצע ביום " dataDxfId="17" totalsRowDxfId="7"/>
    <tableColumn id="9" xr3:uid="{EF8DEE1F-1AD2-4E77-956B-6EF3C87864F2}" name="מלאי בטחון KARTON" dataDxfId="16" totalsRowDxfId="6"/>
    <tableColumn id="10" xr3:uid="{98771D4F-CA57-4266-ACD0-558B9D1DC966}" name="WEIGHT KARTON average per מק&quot;ט" dataDxfId="15" totalsRowDxfId="5"/>
    <tableColumn id="11" xr3:uid="{FF209075-6A64-41A2-B20A-0B7F192933B8}" name="כמות לקוחות שהזמנינו for -מכר- average per Date" totalsRowFunction="sum" dataDxfId="14" totalsRow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rightToLeft="1" tabSelected="1" workbookViewId="0">
      <selection activeCell="E77" sqref="E77"/>
    </sheetView>
  </sheetViews>
  <sheetFormatPr defaultColWidth="6.3984375" defaultRowHeight="13.8" x14ac:dyDescent="0.25"/>
  <cols>
    <col min="1" max="1" width="10.09765625" bestFit="1" customWidth="1"/>
    <col min="2" max="2" width="23.796875" bestFit="1" customWidth="1"/>
    <col min="3" max="3" width="9" bestFit="1" customWidth="1"/>
    <col min="4" max="4" width="48.3984375" bestFit="1" customWidth="1"/>
    <col min="5" max="5" width="10.3984375" bestFit="1" customWidth="1"/>
    <col min="6" max="6" width="9" bestFit="1" customWidth="1"/>
    <col min="7" max="7" width="9.8984375" bestFit="1" customWidth="1"/>
    <col min="8" max="8" width="10" bestFit="1" customWidth="1"/>
    <col min="9" max="9" width="9.8984375" bestFit="1" customWidth="1"/>
    <col min="10" max="10" width="13" bestFit="1" customWidth="1"/>
    <col min="11" max="11" width="16.5" bestFit="1" customWidth="1"/>
  </cols>
  <sheetData>
    <row r="1" spans="1:11" ht="65.40000000000000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5" t="s">
        <v>12</v>
      </c>
      <c r="C2" s="5" t="s">
        <v>55</v>
      </c>
      <c r="D2" s="5" t="s">
        <v>56</v>
      </c>
      <c r="E2" s="6"/>
      <c r="F2" s="11">
        <v>1</v>
      </c>
      <c r="G2" s="7">
        <v>0</v>
      </c>
      <c r="H2" s="7"/>
      <c r="I2" s="7"/>
      <c r="J2" s="5"/>
      <c r="K2" s="8"/>
    </row>
    <row r="3" spans="1:11" x14ac:dyDescent="0.25">
      <c r="A3" s="4" t="s">
        <v>11</v>
      </c>
      <c r="B3" s="5" t="s">
        <v>89</v>
      </c>
      <c r="C3" s="5" t="s">
        <v>94</v>
      </c>
      <c r="D3" s="5" t="s">
        <v>95</v>
      </c>
      <c r="E3" s="6"/>
      <c r="F3" s="11">
        <v>1</v>
      </c>
      <c r="G3" s="7">
        <v>0</v>
      </c>
      <c r="H3" s="7"/>
      <c r="I3" s="7"/>
      <c r="J3" s="5"/>
      <c r="K3" s="8"/>
    </row>
    <row r="4" spans="1:11" x14ac:dyDescent="0.25">
      <c r="A4" s="4" t="s">
        <v>11</v>
      </c>
      <c r="B4" s="5" t="s">
        <v>89</v>
      </c>
      <c r="C4" s="5" t="s">
        <v>96</v>
      </c>
      <c r="D4" s="5" t="s">
        <v>97</v>
      </c>
      <c r="E4" s="6"/>
      <c r="F4" s="11">
        <v>1</v>
      </c>
      <c r="G4" s="7">
        <v>0</v>
      </c>
      <c r="H4" s="7"/>
      <c r="I4" s="7"/>
      <c r="J4" s="5"/>
      <c r="K4" s="8"/>
    </row>
    <row r="5" spans="1:11" x14ac:dyDescent="0.25">
      <c r="A5" s="4" t="s">
        <v>11</v>
      </c>
      <c r="B5" s="5" t="s">
        <v>100</v>
      </c>
      <c r="C5" s="5" t="s">
        <v>129</v>
      </c>
      <c r="D5" s="5" t="s">
        <v>130</v>
      </c>
      <c r="E5" s="6"/>
      <c r="F5" s="11">
        <v>1</v>
      </c>
      <c r="G5" s="7">
        <v>0</v>
      </c>
      <c r="H5" s="7"/>
      <c r="I5" s="7"/>
      <c r="J5" s="5"/>
      <c r="K5" s="8"/>
    </row>
    <row r="6" spans="1:11" x14ac:dyDescent="0.25">
      <c r="A6" s="4" t="s">
        <v>11</v>
      </c>
      <c r="B6" s="5" t="s">
        <v>100</v>
      </c>
      <c r="C6" s="5" t="s">
        <v>133</v>
      </c>
      <c r="D6" s="5" t="s">
        <v>134</v>
      </c>
      <c r="E6" s="6"/>
      <c r="F6" s="11">
        <v>1</v>
      </c>
      <c r="G6" s="7">
        <v>0</v>
      </c>
      <c r="H6" s="7"/>
      <c r="I6" s="7"/>
      <c r="J6" s="5"/>
      <c r="K6" s="8"/>
    </row>
    <row r="7" spans="1:11" x14ac:dyDescent="0.25">
      <c r="A7" s="4" t="s">
        <v>11</v>
      </c>
      <c r="B7" s="5" t="s">
        <v>100</v>
      </c>
      <c r="C7" s="5" t="s">
        <v>135</v>
      </c>
      <c r="D7" s="5" t="s">
        <v>136</v>
      </c>
      <c r="E7" s="6"/>
      <c r="F7" s="11">
        <v>1</v>
      </c>
      <c r="G7" s="7">
        <v>0</v>
      </c>
      <c r="H7" s="7"/>
      <c r="I7" s="7"/>
      <c r="J7" s="5"/>
      <c r="K7" s="8"/>
    </row>
    <row r="8" spans="1:11" x14ac:dyDescent="0.25">
      <c r="A8" s="4" t="s">
        <v>11</v>
      </c>
      <c r="B8" s="5" t="s">
        <v>100</v>
      </c>
      <c r="C8" s="5" t="s">
        <v>139</v>
      </c>
      <c r="D8" s="5" t="s">
        <v>140</v>
      </c>
      <c r="E8" s="6"/>
      <c r="F8" s="11">
        <v>1</v>
      </c>
      <c r="G8" s="7">
        <v>0</v>
      </c>
      <c r="H8" s="7"/>
      <c r="I8" s="7"/>
      <c r="J8" s="5"/>
      <c r="K8" s="8"/>
    </row>
    <row r="9" spans="1:11" x14ac:dyDescent="0.25">
      <c r="A9" s="4" t="s">
        <v>11</v>
      </c>
      <c r="B9" s="5" t="s">
        <v>12</v>
      </c>
      <c r="C9" s="5" t="s">
        <v>13</v>
      </c>
      <c r="D9" s="5" t="s">
        <v>14</v>
      </c>
      <c r="E9" s="6">
        <v>1</v>
      </c>
      <c r="F9" s="5">
        <v>1</v>
      </c>
      <c r="G9" s="7">
        <v>365</v>
      </c>
      <c r="H9" s="7">
        <v>32.289156626506021</v>
      </c>
      <c r="I9" s="7">
        <v>1037.865748709122</v>
      </c>
      <c r="J9" s="5">
        <v>3.5999999999999996</v>
      </c>
      <c r="K9" s="8">
        <v>13.4</v>
      </c>
    </row>
    <row r="10" spans="1:11" x14ac:dyDescent="0.25">
      <c r="A10" s="4" t="s">
        <v>11</v>
      </c>
      <c r="B10" s="5" t="s">
        <v>12</v>
      </c>
      <c r="C10" s="5" t="s">
        <v>15</v>
      </c>
      <c r="D10" s="5" t="s">
        <v>16</v>
      </c>
      <c r="E10" s="6"/>
      <c r="F10" s="5">
        <v>1</v>
      </c>
      <c r="G10" s="7">
        <v>0</v>
      </c>
      <c r="H10" s="7">
        <v>16.333333333333332</v>
      </c>
      <c r="I10" s="7">
        <v>525</v>
      </c>
      <c r="J10" s="5">
        <v>3.5999999999999996</v>
      </c>
      <c r="K10" s="8">
        <v>7.3448275862068968</v>
      </c>
    </row>
    <row r="11" spans="1:11" x14ac:dyDescent="0.25">
      <c r="A11" s="4" t="s">
        <v>11</v>
      </c>
      <c r="B11" s="5" t="s">
        <v>12</v>
      </c>
      <c r="C11" s="5" t="s">
        <v>17</v>
      </c>
      <c r="D11" s="5" t="s">
        <v>18</v>
      </c>
      <c r="E11" s="6">
        <v>1</v>
      </c>
      <c r="F11" s="5">
        <v>1</v>
      </c>
      <c r="G11" s="7">
        <v>290</v>
      </c>
      <c r="H11" s="7">
        <v>37.075949367088604</v>
      </c>
      <c r="I11" s="7">
        <v>1191.7269439421339</v>
      </c>
      <c r="J11" s="5">
        <v>3.5999999999999996</v>
      </c>
      <c r="K11" s="8">
        <v>18.743902439024389</v>
      </c>
    </row>
    <row r="12" spans="1:11" x14ac:dyDescent="0.25">
      <c r="A12" s="4" t="s">
        <v>11</v>
      </c>
      <c r="B12" s="5" t="s">
        <v>12</v>
      </c>
      <c r="C12" s="5" t="s">
        <v>19</v>
      </c>
      <c r="D12" s="5" t="s">
        <v>20</v>
      </c>
      <c r="E12" s="6"/>
      <c r="F12" s="5">
        <v>1</v>
      </c>
      <c r="G12" s="7">
        <v>0</v>
      </c>
      <c r="H12" s="7"/>
      <c r="I12" s="7"/>
      <c r="J12" s="5">
        <v>3.5999999999999996</v>
      </c>
      <c r="K12" s="8"/>
    </row>
    <row r="13" spans="1:11" x14ac:dyDescent="0.25">
      <c r="A13" s="4" t="s">
        <v>11</v>
      </c>
      <c r="B13" s="5" t="s">
        <v>12</v>
      </c>
      <c r="C13" s="5" t="s">
        <v>21</v>
      </c>
      <c r="D13" s="5" t="s">
        <v>22</v>
      </c>
      <c r="E13" s="6">
        <v>1</v>
      </c>
      <c r="F13" s="5">
        <v>1</v>
      </c>
      <c r="G13" s="7">
        <v>260</v>
      </c>
      <c r="H13" s="7">
        <v>32.964285714285715</v>
      </c>
      <c r="I13" s="7">
        <v>1059.5663265306123</v>
      </c>
      <c r="J13" s="5">
        <v>3.5999999999999996</v>
      </c>
      <c r="K13" s="8">
        <v>14.209302325581396</v>
      </c>
    </row>
    <row r="14" spans="1:11" x14ac:dyDescent="0.25">
      <c r="A14" s="4" t="s">
        <v>11</v>
      </c>
      <c r="B14" s="5" t="s">
        <v>12</v>
      </c>
      <c r="C14" s="5" t="s">
        <v>23</v>
      </c>
      <c r="D14" s="5" t="s">
        <v>24</v>
      </c>
      <c r="E14" s="6">
        <v>1</v>
      </c>
      <c r="F14" s="5">
        <v>1</v>
      </c>
      <c r="G14" s="7">
        <v>4909</v>
      </c>
      <c r="H14" s="7">
        <v>172.12941176470588</v>
      </c>
      <c r="I14" s="7">
        <v>5532.7310924369749</v>
      </c>
      <c r="J14" s="5">
        <v>1.3800000000000001</v>
      </c>
      <c r="K14" s="8">
        <v>75</v>
      </c>
    </row>
    <row r="15" spans="1:11" x14ac:dyDescent="0.25">
      <c r="A15" s="4" t="s">
        <v>11</v>
      </c>
      <c r="B15" s="5" t="s">
        <v>12</v>
      </c>
      <c r="C15" s="5" t="s">
        <v>25</v>
      </c>
      <c r="D15" s="5" t="s">
        <v>26</v>
      </c>
      <c r="E15" s="6">
        <v>1</v>
      </c>
      <c r="F15" s="5">
        <v>1</v>
      </c>
      <c r="G15" s="7">
        <v>2173</v>
      </c>
      <c r="H15" s="7">
        <v>60.011764705882356</v>
      </c>
      <c r="I15" s="7">
        <v>1928.9495798319329</v>
      </c>
      <c r="J15" s="5">
        <v>1.3800000000000001</v>
      </c>
      <c r="K15" s="8">
        <v>37.195402298850574</v>
      </c>
    </row>
    <row r="16" spans="1:11" x14ac:dyDescent="0.25">
      <c r="A16" s="4" t="s">
        <v>11</v>
      </c>
      <c r="B16" s="5" t="s">
        <v>12</v>
      </c>
      <c r="C16" s="5" t="s">
        <v>27</v>
      </c>
      <c r="D16" s="5" t="s">
        <v>28</v>
      </c>
      <c r="E16" s="6">
        <v>1</v>
      </c>
      <c r="F16" s="5">
        <v>1</v>
      </c>
      <c r="G16" s="7">
        <v>446</v>
      </c>
      <c r="H16" s="7">
        <v>36.350649350649348</v>
      </c>
      <c r="I16" s="7">
        <v>1168.4137291280149</v>
      </c>
      <c r="J16" s="5">
        <v>1.08</v>
      </c>
      <c r="K16" s="8">
        <v>25.875</v>
      </c>
    </row>
    <row r="17" spans="1:11" x14ac:dyDescent="0.25">
      <c r="A17" s="4" t="s">
        <v>11</v>
      </c>
      <c r="B17" s="5" t="s">
        <v>12</v>
      </c>
      <c r="C17" s="5" t="s">
        <v>29</v>
      </c>
      <c r="D17" s="5" t="s">
        <v>30</v>
      </c>
      <c r="E17" s="6">
        <v>1</v>
      </c>
      <c r="F17" s="5">
        <v>1</v>
      </c>
      <c r="G17" s="7">
        <v>690</v>
      </c>
      <c r="H17" s="7">
        <v>74.224999999999994</v>
      </c>
      <c r="I17" s="7">
        <v>2385.8035714285711</v>
      </c>
      <c r="J17" s="5">
        <v>1.08</v>
      </c>
      <c r="K17" s="8">
        <v>46.487804878048777</v>
      </c>
    </row>
    <row r="18" spans="1:11" x14ac:dyDescent="0.25">
      <c r="A18" s="4" t="s">
        <v>11</v>
      </c>
      <c r="B18" s="5" t="s">
        <v>12</v>
      </c>
      <c r="C18" s="5" t="s">
        <v>31</v>
      </c>
      <c r="D18" s="5" t="s">
        <v>32</v>
      </c>
      <c r="E18" s="6">
        <v>1</v>
      </c>
      <c r="F18" s="5">
        <v>1</v>
      </c>
      <c r="G18" s="7">
        <v>1062</v>
      </c>
      <c r="H18" s="7">
        <v>44.390243902439025</v>
      </c>
      <c r="I18" s="7">
        <v>1426.8292682926831</v>
      </c>
      <c r="J18" s="5">
        <v>1.08</v>
      </c>
      <c r="K18" s="8">
        <v>29.321428571428573</v>
      </c>
    </row>
    <row r="19" spans="1:11" x14ac:dyDescent="0.25">
      <c r="A19" s="4" t="s">
        <v>11</v>
      </c>
      <c r="B19" s="5" t="s">
        <v>12</v>
      </c>
      <c r="C19" s="5" t="s">
        <v>33</v>
      </c>
      <c r="D19" s="5" t="s">
        <v>34</v>
      </c>
      <c r="E19" s="6"/>
      <c r="F19" s="5">
        <v>1</v>
      </c>
      <c r="G19" s="7">
        <v>0</v>
      </c>
      <c r="H19" s="7"/>
      <c r="I19" s="7"/>
      <c r="J19" s="5">
        <v>7.2</v>
      </c>
      <c r="K19" s="8">
        <v>1</v>
      </c>
    </row>
    <row r="20" spans="1:11" x14ac:dyDescent="0.25">
      <c r="A20" s="4" t="s">
        <v>11</v>
      </c>
      <c r="B20" s="5" t="s">
        <v>12</v>
      </c>
      <c r="C20" s="5" t="s">
        <v>35</v>
      </c>
      <c r="D20" s="5" t="s">
        <v>36</v>
      </c>
      <c r="E20" s="6">
        <v>1</v>
      </c>
      <c r="F20" s="5">
        <v>1</v>
      </c>
      <c r="G20" s="7">
        <v>91</v>
      </c>
      <c r="H20" s="7">
        <v>3.1578947368421053</v>
      </c>
      <c r="I20" s="7">
        <v>101.50375939849624</v>
      </c>
      <c r="J20" s="5">
        <v>7.2</v>
      </c>
      <c r="K20" s="8">
        <v>4.8289473684210522</v>
      </c>
    </row>
    <row r="21" spans="1:11" x14ac:dyDescent="0.25">
      <c r="A21" s="4" t="s">
        <v>11</v>
      </c>
      <c r="B21" s="5" t="s">
        <v>12</v>
      </c>
      <c r="C21" s="5" t="s">
        <v>37</v>
      </c>
      <c r="D21" s="5" t="s">
        <v>38</v>
      </c>
      <c r="E21" s="6">
        <v>1</v>
      </c>
      <c r="F21" s="5">
        <v>1</v>
      </c>
      <c r="G21" s="7">
        <v>116</v>
      </c>
      <c r="H21" s="7">
        <v>2.8518518518518516</v>
      </c>
      <c r="I21" s="7">
        <v>91.666666666666657</v>
      </c>
      <c r="J21" s="5">
        <v>7.2</v>
      </c>
      <c r="K21" s="8">
        <v>4.0149253731343286</v>
      </c>
    </row>
    <row r="22" spans="1:11" x14ac:dyDescent="0.25">
      <c r="A22" s="4" t="s">
        <v>11</v>
      </c>
      <c r="B22" s="5" t="s">
        <v>12</v>
      </c>
      <c r="C22" s="5" t="s">
        <v>39</v>
      </c>
      <c r="D22" s="5" t="s">
        <v>40</v>
      </c>
      <c r="E22" s="6"/>
      <c r="F22" s="5">
        <v>1</v>
      </c>
      <c r="G22" s="7">
        <v>0</v>
      </c>
      <c r="H22" s="7">
        <v>13.666666666666666</v>
      </c>
      <c r="I22" s="7">
        <v>439.28571428571433</v>
      </c>
      <c r="J22" s="5">
        <v>2.5300000000000002</v>
      </c>
      <c r="K22" s="8">
        <v>10.35483870967742</v>
      </c>
    </row>
    <row r="23" spans="1:11" x14ac:dyDescent="0.25">
      <c r="A23" s="4" t="s">
        <v>11</v>
      </c>
      <c r="B23" s="5" t="s">
        <v>12</v>
      </c>
      <c r="C23" s="5" t="s">
        <v>41</v>
      </c>
      <c r="D23" s="5" t="s">
        <v>42</v>
      </c>
      <c r="E23" s="6">
        <v>1</v>
      </c>
      <c r="F23" s="5">
        <v>1</v>
      </c>
      <c r="G23" s="7">
        <v>1696</v>
      </c>
      <c r="H23" s="7">
        <v>42.8</v>
      </c>
      <c r="I23" s="7">
        <v>1375.7142857142856</v>
      </c>
      <c r="J23" s="5">
        <v>2.4000000000000004</v>
      </c>
      <c r="K23" s="8">
        <v>26.71590909090909</v>
      </c>
    </row>
    <row r="24" spans="1:11" x14ac:dyDescent="0.25">
      <c r="A24" s="4" t="s">
        <v>11</v>
      </c>
      <c r="B24" s="5" t="s">
        <v>12</v>
      </c>
      <c r="C24" s="5" t="s">
        <v>43</v>
      </c>
      <c r="D24" s="5" t="s">
        <v>44</v>
      </c>
      <c r="E24" s="6">
        <v>1</v>
      </c>
      <c r="F24" s="5">
        <v>1</v>
      </c>
      <c r="G24" s="7">
        <v>1167</v>
      </c>
      <c r="H24" s="7">
        <v>80.482352941176472</v>
      </c>
      <c r="I24" s="7">
        <v>2586.932773109244</v>
      </c>
      <c r="J24" s="5">
        <v>1.5</v>
      </c>
      <c r="K24" s="8">
        <v>49.875</v>
      </c>
    </row>
    <row r="25" spans="1:11" x14ac:dyDescent="0.25">
      <c r="A25" s="4" t="s">
        <v>11</v>
      </c>
      <c r="B25" s="5" t="s">
        <v>12</v>
      </c>
      <c r="C25" s="5" t="s">
        <v>45</v>
      </c>
      <c r="D25" s="5" t="s">
        <v>46</v>
      </c>
      <c r="E25" s="6">
        <v>1</v>
      </c>
      <c r="F25" s="5">
        <v>1</v>
      </c>
      <c r="G25" s="7">
        <v>1700</v>
      </c>
      <c r="H25" s="7">
        <v>42.80952380952381</v>
      </c>
      <c r="I25" s="7">
        <v>1376.0204081632655</v>
      </c>
      <c r="J25" s="5">
        <v>1.5</v>
      </c>
      <c r="K25" s="8">
        <v>27.454545454545453</v>
      </c>
    </row>
    <row r="26" spans="1:11" x14ac:dyDescent="0.25">
      <c r="A26" s="4" t="s">
        <v>11</v>
      </c>
      <c r="B26" s="5" t="s">
        <v>12</v>
      </c>
      <c r="C26" s="5" t="s">
        <v>47</v>
      </c>
      <c r="D26" s="5" t="s">
        <v>48</v>
      </c>
      <c r="E26" s="6">
        <v>1</v>
      </c>
      <c r="F26" s="5">
        <v>1</v>
      </c>
      <c r="G26" s="7">
        <v>2889</v>
      </c>
      <c r="H26" s="7">
        <v>101.09375</v>
      </c>
      <c r="I26" s="7">
        <v>3249.4419642857147</v>
      </c>
      <c r="J26" s="5">
        <v>2.4000000000000004</v>
      </c>
      <c r="K26" s="8">
        <v>59.227272727272727</v>
      </c>
    </row>
    <row r="27" spans="1:11" x14ac:dyDescent="0.25">
      <c r="A27" s="4" t="s">
        <v>11</v>
      </c>
      <c r="B27" s="5" t="s">
        <v>12</v>
      </c>
      <c r="C27" s="5" t="s">
        <v>49</v>
      </c>
      <c r="D27" s="5" t="s">
        <v>50</v>
      </c>
      <c r="E27" s="6">
        <v>1</v>
      </c>
      <c r="F27" s="5">
        <v>1</v>
      </c>
      <c r="G27" s="7">
        <v>3809</v>
      </c>
      <c r="H27" s="7">
        <v>70.71764705882353</v>
      </c>
      <c r="I27" s="7">
        <v>2273.0672268907565</v>
      </c>
      <c r="J27" s="5">
        <v>3</v>
      </c>
      <c r="K27" s="8">
        <v>46.172413793103445</v>
      </c>
    </row>
    <row r="28" spans="1:11" x14ac:dyDescent="0.25">
      <c r="A28" s="4" t="s">
        <v>11</v>
      </c>
      <c r="B28" s="5" t="s">
        <v>12</v>
      </c>
      <c r="C28" s="5" t="s">
        <v>51</v>
      </c>
      <c r="D28" s="5" t="s">
        <v>52</v>
      </c>
      <c r="E28" s="6">
        <v>1</v>
      </c>
      <c r="F28" s="5">
        <v>1</v>
      </c>
      <c r="G28" s="7">
        <v>3523</v>
      </c>
      <c r="H28" s="7">
        <v>59.2</v>
      </c>
      <c r="I28" s="7">
        <v>1902.8571428571429</v>
      </c>
      <c r="J28" s="5">
        <v>3</v>
      </c>
      <c r="K28" s="8">
        <v>35.988505747126439</v>
      </c>
    </row>
    <row r="29" spans="1:11" x14ac:dyDescent="0.25">
      <c r="A29" s="4" t="s">
        <v>11</v>
      </c>
      <c r="B29" s="5" t="s">
        <v>12</v>
      </c>
      <c r="C29" s="5" t="s">
        <v>53</v>
      </c>
      <c r="D29" s="5" t="s">
        <v>54</v>
      </c>
      <c r="E29" s="6">
        <v>1</v>
      </c>
      <c r="F29" s="5">
        <v>1</v>
      </c>
      <c r="G29" s="7">
        <v>1791</v>
      </c>
      <c r="H29" s="7">
        <v>40.44047619047619</v>
      </c>
      <c r="I29" s="7">
        <v>1299.8724489795918</v>
      </c>
      <c r="J29" s="5">
        <v>3</v>
      </c>
      <c r="K29" s="8">
        <v>22.954022988505749</v>
      </c>
    </row>
    <row r="30" spans="1:11" x14ac:dyDescent="0.25">
      <c r="A30" s="4" t="s">
        <v>11</v>
      </c>
      <c r="B30" s="5" t="s">
        <v>12</v>
      </c>
      <c r="C30" s="5" t="s">
        <v>57</v>
      </c>
      <c r="D30" s="5" t="s">
        <v>58</v>
      </c>
      <c r="E30" s="6">
        <v>1</v>
      </c>
      <c r="F30" s="5">
        <v>1</v>
      </c>
      <c r="G30" s="7">
        <v>901</v>
      </c>
      <c r="H30" s="7">
        <v>38.738461538461536</v>
      </c>
      <c r="I30" s="7">
        <v>1245.164835164835</v>
      </c>
      <c r="J30" s="5">
        <v>1.7399999999999998</v>
      </c>
      <c r="K30" s="8">
        <v>16.044776119402986</v>
      </c>
    </row>
    <row r="31" spans="1:11" x14ac:dyDescent="0.25">
      <c r="A31" s="4" t="s">
        <v>11</v>
      </c>
      <c r="B31" s="5" t="s">
        <v>12</v>
      </c>
      <c r="C31" s="5" t="s">
        <v>59</v>
      </c>
      <c r="D31" s="5" t="s">
        <v>60</v>
      </c>
      <c r="E31" s="6">
        <v>1</v>
      </c>
      <c r="F31" s="5">
        <v>1</v>
      </c>
      <c r="G31" s="7">
        <v>982</v>
      </c>
      <c r="H31" s="7">
        <v>25.612903225806452</v>
      </c>
      <c r="I31" s="7">
        <v>823.27188940092162</v>
      </c>
      <c r="J31" s="5">
        <v>1.7399999999999998</v>
      </c>
      <c r="K31" s="8">
        <v>10.21875</v>
      </c>
    </row>
    <row r="32" spans="1:11" x14ac:dyDescent="0.25">
      <c r="A32" s="4" t="s">
        <v>11</v>
      </c>
      <c r="B32" s="5" t="s">
        <v>12</v>
      </c>
      <c r="C32" s="5" t="s">
        <v>61</v>
      </c>
      <c r="D32" s="5" t="s">
        <v>62</v>
      </c>
      <c r="E32" s="6"/>
      <c r="F32" s="5">
        <v>1</v>
      </c>
      <c r="G32" s="7">
        <v>0</v>
      </c>
      <c r="H32" s="7">
        <v>9.3137254901960791</v>
      </c>
      <c r="I32" s="7">
        <v>299.36974789915968</v>
      </c>
      <c r="J32" s="5">
        <v>1.7399999999999998</v>
      </c>
      <c r="K32" s="8">
        <v>5.5660377358490569</v>
      </c>
    </row>
    <row r="33" spans="1:11" x14ac:dyDescent="0.25">
      <c r="A33" s="4" t="s">
        <v>11</v>
      </c>
      <c r="B33" s="5" t="s">
        <v>12</v>
      </c>
      <c r="C33" s="5" t="s">
        <v>63</v>
      </c>
      <c r="D33" s="5" t="s">
        <v>64</v>
      </c>
      <c r="E33" s="6">
        <v>1</v>
      </c>
      <c r="F33" s="5">
        <v>1</v>
      </c>
      <c r="G33" s="7">
        <v>630</v>
      </c>
      <c r="H33" s="7">
        <v>13.493506493506494</v>
      </c>
      <c r="I33" s="7">
        <v>433.71985157699453</v>
      </c>
      <c r="J33" s="5">
        <v>1.7399999999999998</v>
      </c>
      <c r="K33" s="8">
        <v>8.0875000000000004</v>
      </c>
    </row>
    <row r="34" spans="1:11" x14ac:dyDescent="0.25">
      <c r="A34" s="4" t="s">
        <v>11</v>
      </c>
      <c r="B34" s="5" t="s">
        <v>12</v>
      </c>
      <c r="C34" s="5" t="s">
        <v>65</v>
      </c>
      <c r="D34" s="5" t="s">
        <v>66</v>
      </c>
      <c r="E34" s="6">
        <v>1</v>
      </c>
      <c r="F34" s="5">
        <v>1</v>
      </c>
      <c r="G34" s="7">
        <v>23</v>
      </c>
      <c r="H34" s="7">
        <v>59.571428571428569</v>
      </c>
      <c r="I34" s="7">
        <v>1914.7959183673472</v>
      </c>
      <c r="J34" s="5">
        <v>3</v>
      </c>
      <c r="K34" s="8">
        <v>41.541666666666664</v>
      </c>
    </row>
    <row r="35" spans="1:11" x14ac:dyDescent="0.25">
      <c r="A35" s="4" t="s">
        <v>11</v>
      </c>
      <c r="B35" s="5" t="s">
        <v>12</v>
      </c>
      <c r="C35" s="5" t="s">
        <v>67</v>
      </c>
      <c r="D35" s="5" t="s">
        <v>68</v>
      </c>
      <c r="E35" s="6">
        <v>1</v>
      </c>
      <c r="F35" s="5">
        <v>1</v>
      </c>
      <c r="G35" s="7">
        <v>818</v>
      </c>
      <c r="H35" s="7">
        <v>25.273809523809526</v>
      </c>
      <c r="I35" s="7">
        <v>812.37244897959192</v>
      </c>
      <c r="J35" s="5">
        <v>3.12</v>
      </c>
      <c r="K35" s="8">
        <v>20.724137931034484</v>
      </c>
    </row>
    <row r="36" spans="1:11" x14ac:dyDescent="0.25">
      <c r="A36" s="4" t="s">
        <v>11</v>
      </c>
      <c r="B36" s="5" t="s">
        <v>12</v>
      </c>
      <c r="C36" s="5" t="s">
        <v>69</v>
      </c>
      <c r="D36" s="5" t="s">
        <v>70</v>
      </c>
      <c r="E36" s="6">
        <v>1</v>
      </c>
      <c r="F36" s="5">
        <v>1</v>
      </c>
      <c r="G36" s="7">
        <v>762</v>
      </c>
      <c r="H36" s="7">
        <v>28.642857142857142</v>
      </c>
      <c r="I36" s="7">
        <v>920.66326530612241</v>
      </c>
      <c r="J36" s="5">
        <v>3</v>
      </c>
      <c r="K36" s="8">
        <v>22.147727272727273</v>
      </c>
    </row>
    <row r="37" spans="1:11" x14ac:dyDescent="0.25">
      <c r="A37" s="4" t="s">
        <v>11</v>
      </c>
      <c r="B37" s="5" t="s">
        <v>72</v>
      </c>
      <c r="C37" s="5" t="s">
        <v>73</v>
      </c>
      <c r="D37" s="5" t="s">
        <v>74</v>
      </c>
      <c r="E37" s="6"/>
      <c r="F37" s="5">
        <v>1</v>
      </c>
      <c r="G37" s="7">
        <v>0</v>
      </c>
      <c r="H37" s="7">
        <v>323.91428571428571</v>
      </c>
      <c r="I37" s="7">
        <v>3239.1428571428573</v>
      </c>
      <c r="J37" s="5">
        <v>1</v>
      </c>
      <c r="K37" s="8">
        <v>74.213333333333338</v>
      </c>
    </row>
    <row r="38" spans="1:11" x14ac:dyDescent="0.25">
      <c r="A38" s="4" t="s">
        <v>11</v>
      </c>
      <c r="B38" s="5" t="s">
        <v>72</v>
      </c>
      <c r="C38" s="5" t="s">
        <v>75</v>
      </c>
      <c r="D38" s="5" t="s">
        <v>76</v>
      </c>
      <c r="E38" s="6"/>
      <c r="F38" s="5">
        <v>1</v>
      </c>
      <c r="G38" s="7">
        <v>0</v>
      </c>
      <c r="H38" s="7">
        <v>169.15625</v>
      </c>
      <c r="I38" s="7">
        <v>1691.5625</v>
      </c>
      <c r="J38" s="5">
        <v>1</v>
      </c>
      <c r="K38" s="8">
        <v>62.772727272727273</v>
      </c>
    </row>
    <row r="39" spans="1:11" x14ac:dyDescent="0.25">
      <c r="A39" s="4" t="s">
        <v>11</v>
      </c>
      <c r="B39" s="5" t="s">
        <v>72</v>
      </c>
      <c r="C39" s="5" t="s">
        <v>77</v>
      </c>
      <c r="D39" s="5" t="s">
        <v>78</v>
      </c>
      <c r="E39" s="6"/>
      <c r="F39" s="5">
        <v>1</v>
      </c>
      <c r="G39" s="7">
        <v>0</v>
      </c>
      <c r="H39" s="7">
        <v>69.873015873015873</v>
      </c>
      <c r="I39" s="7">
        <v>698.73015873015879</v>
      </c>
      <c r="J39" s="5">
        <v>2.25</v>
      </c>
      <c r="K39" s="8">
        <v>31.764705882352942</v>
      </c>
    </row>
    <row r="40" spans="1:11" x14ac:dyDescent="0.25">
      <c r="A40" s="4" t="s">
        <v>11</v>
      </c>
      <c r="B40" s="5" t="s">
        <v>72</v>
      </c>
      <c r="C40" s="5" t="s">
        <v>79</v>
      </c>
      <c r="D40" s="5" t="s">
        <v>80</v>
      </c>
      <c r="E40" s="6"/>
      <c r="F40" s="5">
        <v>1</v>
      </c>
      <c r="G40" s="7">
        <v>0</v>
      </c>
      <c r="H40" s="7">
        <v>38.44</v>
      </c>
      <c r="I40" s="7">
        <v>384.4</v>
      </c>
      <c r="J40" s="5">
        <v>2.25</v>
      </c>
      <c r="K40" s="8">
        <v>19.883116883116884</v>
      </c>
    </row>
    <row r="41" spans="1:11" x14ac:dyDescent="0.25">
      <c r="A41" s="4" t="s">
        <v>11</v>
      </c>
      <c r="B41" s="5" t="s">
        <v>72</v>
      </c>
      <c r="C41" s="5" t="s">
        <v>81</v>
      </c>
      <c r="D41" s="5" t="s">
        <v>82</v>
      </c>
      <c r="E41" s="6"/>
      <c r="F41" s="5">
        <v>1</v>
      </c>
      <c r="G41" s="7">
        <v>0</v>
      </c>
      <c r="H41" s="7">
        <v>50.625</v>
      </c>
      <c r="I41" s="7">
        <v>506.25000000000006</v>
      </c>
      <c r="J41" s="5">
        <v>1</v>
      </c>
      <c r="K41" s="8">
        <v>33.705882352941174</v>
      </c>
    </row>
    <row r="42" spans="1:11" x14ac:dyDescent="0.25">
      <c r="A42" s="4" t="s">
        <v>11</v>
      </c>
      <c r="B42" s="5" t="s">
        <v>72</v>
      </c>
      <c r="C42" s="5" t="s">
        <v>83</v>
      </c>
      <c r="D42" s="5" t="s">
        <v>84</v>
      </c>
      <c r="E42" s="6"/>
      <c r="F42" s="5">
        <v>1</v>
      </c>
      <c r="G42" s="7">
        <v>0</v>
      </c>
      <c r="H42" s="7">
        <v>35.413043478260867</v>
      </c>
      <c r="I42" s="7">
        <v>354.13043478260869</v>
      </c>
      <c r="J42" s="5">
        <v>1</v>
      </c>
      <c r="K42" s="8">
        <v>21.3</v>
      </c>
    </row>
    <row r="43" spans="1:11" x14ac:dyDescent="0.25">
      <c r="A43" s="4" t="s">
        <v>11</v>
      </c>
      <c r="B43" s="5" t="s">
        <v>72</v>
      </c>
      <c r="C43" s="5" t="s">
        <v>85</v>
      </c>
      <c r="D43" s="5" t="s">
        <v>86</v>
      </c>
      <c r="E43" s="6"/>
      <c r="F43" s="5">
        <v>1</v>
      </c>
      <c r="G43" s="7">
        <v>0</v>
      </c>
      <c r="H43" s="7">
        <v>60.444444444444443</v>
      </c>
      <c r="I43" s="7">
        <v>604.44444444444446</v>
      </c>
      <c r="J43" s="5">
        <v>1.2</v>
      </c>
      <c r="K43" s="8">
        <v>36.970149253731343</v>
      </c>
    </row>
    <row r="44" spans="1:11" x14ac:dyDescent="0.25">
      <c r="A44" s="4" t="s">
        <v>11</v>
      </c>
      <c r="B44" s="5" t="s">
        <v>72</v>
      </c>
      <c r="C44" s="5" t="s">
        <v>87</v>
      </c>
      <c r="D44" s="5" t="s">
        <v>88</v>
      </c>
      <c r="E44" s="6"/>
      <c r="F44" s="5">
        <v>1</v>
      </c>
      <c r="G44" s="7">
        <v>0</v>
      </c>
      <c r="H44" s="7">
        <v>29.721311475409838</v>
      </c>
      <c r="I44" s="7">
        <v>297.2131147540984</v>
      </c>
      <c r="J44" s="5">
        <v>1.2</v>
      </c>
      <c r="K44" s="8">
        <v>17.560606060606062</v>
      </c>
    </row>
    <row r="45" spans="1:11" x14ac:dyDescent="0.25">
      <c r="A45" s="4" t="s">
        <v>11</v>
      </c>
      <c r="B45" s="5" t="s">
        <v>89</v>
      </c>
      <c r="C45" s="5" t="s">
        <v>90</v>
      </c>
      <c r="D45" s="5" t="s">
        <v>91</v>
      </c>
      <c r="E45" s="6"/>
      <c r="F45" s="5">
        <v>1</v>
      </c>
      <c r="G45" s="7">
        <v>0</v>
      </c>
      <c r="H45" s="7"/>
      <c r="I45" s="7"/>
      <c r="J45" s="5">
        <v>3</v>
      </c>
      <c r="K45" s="8"/>
    </row>
    <row r="46" spans="1:11" x14ac:dyDescent="0.25">
      <c r="A46" s="4" t="s">
        <v>11</v>
      </c>
      <c r="B46" s="5" t="s">
        <v>89</v>
      </c>
      <c r="C46" s="5" t="s">
        <v>92</v>
      </c>
      <c r="D46" s="5" t="s">
        <v>93</v>
      </c>
      <c r="E46" s="6"/>
      <c r="F46" s="5">
        <v>1</v>
      </c>
      <c r="G46" s="7">
        <v>0</v>
      </c>
      <c r="H46" s="7"/>
      <c r="I46" s="7"/>
      <c r="J46" s="5">
        <v>3</v>
      </c>
      <c r="K46" s="8"/>
    </row>
    <row r="47" spans="1:11" x14ac:dyDescent="0.25">
      <c r="A47" s="4" t="s">
        <v>11</v>
      </c>
      <c r="B47" s="5" t="s">
        <v>89</v>
      </c>
      <c r="C47" s="5" t="s">
        <v>98</v>
      </c>
      <c r="D47" s="5" t="s">
        <v>99</v>
      </c>
      <c r="E47" s="6"/>
      <c r="F47" s="5">
        <v>1</v>
      </c>
      <c r="G47" s="7">
        <v>0</v>
      </c>
      <c r="H47" s="7"/>
      <c r="I47" s="7"/>
      <c r="J47" s="5">
        <v>2.4000000000000004</v>
      </c>
      <c r="K47" s="8"/>
    </row>
    <row r="48" spans="1:11" x14ac:dyDescent="0.25">
      <c r="A48" s="4" t="s">
        <v>11</v>
      </c>
      <c r="B48" s="5" t="s">
        <v>100</v>
      </c>
      <c r="C48" s="5" t="s">
        <v>101</v>
      </c>
      <c r="D48" s="5" t="s">
        <v>102</v>
      </c>
      <c r="E48" s="6">
        <v>1</v>
      </c>
      <c r="F48" s="5">
        <v>1</v>
      </c>
      <c r="G48" s="7">
        <v>2321</v>
      </c>
      <c r="H48" s="7">
        <v>66.28235294117647</v>
      </c>
      <c r="I48" s="7">
        <v>2130.5042016806724</v>
      </c>
      <c r="J48" s="5">
        <v>2.4000000000000004</v>
      </c>
      <c r="K48" s="8">
        <v>46.920454545454547</v>
      </c>
    </row>
    <row r="49" spans="1:11" x14ac:dyDescent="0.25">
      <c r="A49" s="4" t="s">
        <v>11</v>
      </c>
      <c r="B49" s="5" t="s">
        <v>100</v>
      </c>
      <c r="C49" s="5" t="s">
        <v>103</v>
      </c>
      <c r="D49" s="5" t="s">
        <v>104</v>
      </c>
      <c r="E49" s="6">
        <v>1</v>
      </c>
      <c r="F49" s="5">
        <v>1</v>
      </c>
      <c r="G49" s="7">
        <v>1041</v>
      </c>
      <c r="H49" s="7">
        <v>38.6</v>
      </c>
      <c r="I49" s="7">
        <v>1240.7142857142858</v>
      </c>
      <c r="J49" s="5">
        <v>3</v>
      </c>
      <c r="K49" s="8">
        <v>18.896551724137932</v>
      </c>
    </row>
    <row r="50" spans="1:11" x14ac:dyDescent="0.25">
      <c r="A50" s="4" t="s">
        <v>11</v>
      </c>
      <c r="B50" s="5" t="s">
        <v>100</v>
      </c>
      <c r="C50" s="5" t="s">
        <v>105</v>
      </c>
      <c r="D50" s="5" t="s">
        <v>106</v>
      </c>
      <c r="E50" s="6"/>
      <c r="F50" s="5">
        <v>1</v>
      </c>
      <c r="G50" s="7">
        <v>0</v>
      </c>
      <c r="H50" s="7"/>
      <c r="I50" s="7"/>
      <c r="J50" s="5">
        <v>2.5</v>
      </c>
      <c r="K50" s="8">
        <v>1</v>
      </c>
    </row>
    <row r="51" spans="1:11" x14ac:dyDescent="0.25">
      <c r="A51" s="4" t="s">
        <v>11</v>
      </c>
      <c r="B51" s="5" t="s">
        <v>100</v>
      </c>
      <c r="C51" s="5" t="s">
        <v>107</v>
      </c>
      <c r="D51" s="5" t="s">
        <v>108</v>
      </c>
      <c r="E51" s="6"/>
      <c r="F51" s="5">
        <v>1</v>
      </c>
      <c r="G51" s="7">
        <v>0</v>
      </c>
      <c r="H51" s="7">
        <v>30.96875</v>
      </c>
      <c r="I51" s="7">
        <v>995.42410714285722</v>
      </c>
      <c r="J51" s="5">
        <v>2.4000000000000004</v>
      </c>
      <c r="K51" s="8">
        <v>13.305555555555555</v>
      </c>
    </row>
    <row r="52" spans="1:11" x14ac:dyDescent="0.25">
      <c r="A52" s="4" t="s">
        <v>11</v>
      </c>
      <c r="B52" s="5" t="s">
        <v>100</v>
      </c>
      <c r="C52" s="5" t="s">
        <v>109</v>
      </c>
      <c r="D52" s="5" t="s">
        <v>110</v>
      </c>
      <c r="E52" s="6"/>
      <c r="F52" s="5">
        <v>1</v>
      </c>
      <c r="G52" s="7">
        <v>0</v>
      </c>
      <c r="H52" s="7">
        <v>49.893617021276597</v>
      </c>
      <c r="I52" s="7">
        <v>1603.7234042553191</v>
      </c>
      <c r="J52" s="5">
        <v>2.4000000000000004</v>
      </c>
      <c r="K52" s="8">
        <v>28.568627450980394</v>
      </c>
    </row>
    <row r="53" spans="1:11" x14ac:dyDescent="0.25">
      <c r="A53" s="4" t="s">
        <v>11</v>
      </c>
      <c r="B53" s="5" t="s">
        <v>100</v>
      </c>
      <c r="C53" s="5" t="s">
        <v>111</v>
      </c>
      <c r="D53" s="5" t="s">
        <v>112</v>
      </c>
      <c r="E53" s="6">
        <v>1</v>
      </c>
      <c r="F53" s="5">
        <v>1</v>
      </c>
      <c r="G53" s="7">
        <v>1301</v>
      </c>
      <c r="H53" s="7">
        <v>73.094117647058823</v>
      </c>
      <c r="I53" s="7">
        <v>2349.453781512605</v>
      </c>
      <c r="J53" s="5">
        <v>2.5</v>
      </c>
      <c r="K53" s="8">
        <v>46.5632183908046</v>
      </c>
    </row>
    <row r="54" spans="1:11" x14ac:dyDescent="0.25">
      <c r="A54" s="4" t="s">
        <v>11</v>
      </c>
      <c r="B54" s="5" t="s">
        <v>100</v>
      </c>
      <c r="C54" s="5" t="s">
        <v>113</v>
      </c>
      <c r="D54" s="5" t="s">
        <v>114</v>
      </c>
      <c r="E54" s="6">
        <v>1</v>
      </c>
      <c r="F54" s="5">
        <v>1</v>
      </c>
      <c r="G54" s="7">
        <v>1475</v>
      </c>
      <c r="H54" s="7">
        <v>72.094117647058823</v>
      </c>
      <c r="I54" s="7">
        <v>2317.3109243697477</v>
      </c>
      <c r="J54" s="5">
        <v>1.56</v>
      </c>
      <c r="K54" s="8">
        <v>44.804597701149426</v>
      </c>
    </row>
    <row r="55" spans="1:11" x14ac:dyDescent="0.25">
      <c r="A55" s="4" t="s">
        <v>11</v>
      </c>
      <c r="B55" s="5" t="s">
        <v>100</v>
      </c>
      <c r="C55" s="5" t="s">
        <v>115</v>
      </c>
      <c r="D55" s="5" t="s">
        <v>116</v>
      </c>
      <c r="E55" s="6">
        <v>1</v>
      </c>
      <c r="F55" s="5">
        <v>1</v>
      </c>
      <c r="G55" s="7">
        <v>1304</v>
      </c>
      <c r="H55" s="7">
        <v>49.258823529411764</v>
      </c>
      <c r="I55" s="7">
        <v>1583.3193277310925</v>
      </c>
      <c r="J55" s="5">
        <v>1.56</v>
      </c>
      <c r="K55" s="8">
        <v>34.321839080459768</v>
      </c>
    </row>
    <row r="56" spans="1:11" x14ac:dyDescent="0.25">
      <c r="A56" s="4" t="s">
        <v>11</v>
      </c>
      <c r="B56" s="5" t="s">
        <v>100</v>
      </c>
      <c r="C56" s="5" t="s">
        <v>117</v>
      </c>
      <c r="D56" s="5" t="s">
        <v>118</v>
      </c>
      <c r="E56" s="6">
        <v>1</v>
      </c>
      <c r="F56" s="5">
        <v>1</v>
      </c>
      <c r="G56" s="7">
        <v>1459</v>
      </c>
      <c r="H56" s="7">
        <v>119.3780487804878</v>
      </c>
      <c r="I56" s="7">
        <v>3837.1515679442509</v>
      </c>
      <c r="J56" s="5">
        <v>1.56</v>
      </c>
      <c r="K56" s="8">
        <v>70.607142857142861</v>
      </c>
    </row>
    <row r="57" spans="1:11" x14ac:dyDescent="0.25">
      <c r="A57" s="4" t="s">
        <v>11</v>
      </c>
      <c r="B57" s="5" t="s">
        <v>100</v>
      </c>
      <c r="C57" s="5" t="s">
        <v>119</v>
      </c>
      <c r="D57" s="5" t="s">
        <v>120</v>
      </c>
      <c r="E57" s="6">
        <v>1</v>
      </c>
      <c r="F57" s="5">
        <v>1</v>
      </c>
      <c r="G57" s="7">
        <v>1417</v>
      </c>
      <c r="H57" s="7">
        <v>20.865671641791046</v>
      </c>
      <c r="I57" s="7">
        <v>670.68230277185512</v>
      </c>
      <c r="J57" s="5">
        <v>1.08</v>
      </c>
      <c r="K57" s="8">
        <v>16.899999999999999</v>
      </c>
    </row>
    <row r="58" spans="1:11" x14ac:dyDescent="0.25">
      <c r="A58" s="4" t="s">
        <v>11</v>
      </c>
      <c r="B58" s="5" t="s">
        <v>100</v>
      </c>
      <c r="C58" s="5" t="s">
        <v>121</v>
      </c>
      <c r="D58" s="5" t="s">
        <v>122</v>
      </c>
      <c r="E58" s="6">
        <v>1</v>
      </c>
      <c r="F58" s="5">
        <v>1</v>
      </c>
      <c r="G58" s="7">
        <v>2290</v>
      </c>
      <c r="H58" s="7">
        <v>56.467532467532465</v>
      </c>
      <c r="I58" s="7">
        <v>1815.0278293135439</v>
      </c>
      <c r="J58" s="5">
        <v>1.08</v>
      </c>
      <c r="K58" s="8">
        <v>38.837499999999999</v>
      </c>
    </row>
    <row r="59" spans="1:11" x14ac:dyDescent="0.25">
      <c r="A59" s="4" t="s">
        <v>11</v>
      </c>
      <c r="B59" s="5" t="s">
        <v>100</v>
      </c>
      <c r="C59" s="5" t="s">
        <v>123</v>
      </c>
      <c r="D59" s="5" t="s">
        <v>124</v>
      </c>
      <c r="E59" s="6">
        <v>1</v>
      </c>
      <c r="F59" s="5">
        <v>1</v>
      </c>
      <c r="G59" s="7">
        <v>1992</v>
      </c>
      <c r="H59" s="7">
        <v>36.523809523809526</v>
      </c>
      <c r="I59" s="7">
        <v>1173.9795918367349</v>
      </c>
      <c r="J59" s="5">
        <v>1.08</v>
      </c>
      <c r="K59" s="8">
        <v>23.976744186046513</v>
      </c>
    </row>
    <row r="60" spans="1:11" x14ac:dyDescent="0.25">
      <c r="A60" s="4" t="s">
        <v>11</v>
      </c>
      <c r="B60" s="5" t="s">
        <v>100</v>
      </c>
      <c r="C60" s="5" t="s">
        <v>125</v>
      </c>
      <c r="D60" s="5" t="s">
        <v>126</v>
      </c>
      <c r="E60" s="6">
        <v>1</v>
      </c>
      <c r="F60" s="5">
        <v>1</v>
      </c>
      <c r="G60" s="7">
        <v>2473</v>
      </c>
      <c r="H60" s="7">
        <v>51.036585365853661</v>
      </c>
      <c r="I60" s="7">
        <v>1640.461672473868</v>
      </c>
      <c r="J60" s="5">
        <v>1.56</v>
      </c>
      <c r="K60" s="8">
        <v>29.702380952380953</v>
      </c>
    </row>
    <row r="61" spans="1:11" x14ac:dyDescent="0.25">
      <c r="A61" s="4" t="s">
        <v>11</v>
      </c>
      <c r="B61" s="5" t="s">
        <v>100</v>
      </c>
      <c r="C61" s="5" t="s">
        <v>127</v>
      </c>
      <c r="D61" s="5" t="s">
        <v>128</v>
      </c>
      <c r="E61" s="6">
        <v>1</v>
      </c>
      <c r="F61" s="5">
        <v>1</v>
      </c>
      <c r="G61" s="7">
        <v>1121</v>
      </c>
      <c r="H61" s="7">
        <v>28.305882352941175</v>
      </c>
      <c r="I61" s="7">
        <v>909.83193277310932</v>
      </c>
      <c r="J61" s="5">
        <v>1.56</v>
      </c>
      <c r="K61" s="8">
        <v>18.275862068965516</v>
      </c>
    </row>
    <row r="62" spans="1:11" x14ac:dyDescent="0.25">
      <c r="A62" s="4" t="s">
        <v>11</v>
      </c>
      <c r="B62" s="5" t="s">
        <v>100</v>
      </c>
      <c r="C62" s="5" t="s">
        <v>131</v>
      </c>
      <c r="D62" s="5" t="s">
        <v>132</v>
      </c>
      <c r="E62" s="6"/>
      <c r="F62" s="5">
        <v>1</v>
      </c>
      <c r="G62" s="7">
        <v>0</v>
      </c>
      <c r="H62" s="7"/>
      <c r="I62" s="7"/>
      <c r="J62" s="5">
        <v>1.5</v>
      </c>
      <c r="K62" s="8"/>
    </row>
    <row r="63" spans="1:11" x14ac:dyDescent="0.25">
      <c r="A63" s="4" t="s">
        <v>11</v>
      </c>
      <c r="B63" s="5" t="s">
        <v>100</v>
      </c>
      <c r="C63" s="5" t="s">
        <v>137</v>
      </c>
      <c r="D63" s="5" t="s">
        <v>138</v>
      </c>
      <c r="E63" s="6"/>
      <c r="F63" s="5">
        <v>1</v>
      </c>
      <c r="G63" s="7">
        <v>0</v>
      </c>
      <c r="H63" s="7"/>
      <c r="I63" s="7"/>
      <c r="J63" s="5">
        <v>1.5</v>
      </c>
      <c r="K63" s="8"/>
    </row>
    <row r="64" spans="1:11" x14ac:dyDescent="0.25">
      <c r="A64" s="4" t="s">
        <v>11</v>
      </c>
      <c r="B64" s="5" t="s">
        <v>100</v>
      </c>
      <c r="C64" s="5" t="s">
        <v>141</v>
      </c>
      <c r="D64" s="5" t="s">
        <v>142</v>
      </c>
      <c r="E64" s="6">
        <v>1</v>
      </c>
      <c r="F64" s="5">
        <v>1</v>
      </c>
      <c r="G64" s="7">
        <v>1016</v>
      </c>
      <c r="H64" s="7">
        <v>24.634146341463413</v>
      </c>
      <c r="I64" s="7">
        <v>791.81184668989545</v>
      </c>
      <c r="J64" s="5">
        <v>2.4000000000000004</v>
      </c>
      <c r="K64" s="8">
        <v>19.235294117647058</v>
      </c>
    </row>
    <row r="65" spans="1:11" x14ac:dyDescent="0.25">
      <c r="A65" s="4" t="s">
        <v>11</v>
      </c>
      <c r="B65" s="5" t="s">
        <v>100</v>
      </c>
      <c r="C65" s="5" t="s">
        <v>143</v>
      </c>
      <c r="D65" s="5" t="s">
        <v>144</v>
      </c>
      <c r="E65" s="6">
        <v>1</v>
      </c>
      <c r="F65" s="5">
        <v>1</v>
      </c>
      <c r="G65" s="7">
        <v>1593</v>
      </c>
      <c r="H65" s="7">
        <v>43.547619047619051</v>
      </c>
      <c r="I65" s="7">
        <v>1399.7448979591838</v>
      </c>
      <c r="J65" s="5">
        <v>2.4000000000000004</v>
      </c>
      <c r="K65" s="8">
        <v>30.366666666666667</v>
      </c>
    </row>
    <row r="66" spans="1:11" x14ac:dyDescent="0.25">
      <c r="A66" s="4" t="s">
        <v>11</v>
      </c>
      <c r="B66" s="5" t="s">
        <v>100</v>
      </c>
      <c r="C66" s="5" t="s">
        <v>145</v>
      </c>
      <c r="D66" s="5" t="s">
        <v>146</v>
      </c>
      <c r="E66" s="6">
        <v>1</v>
      </c>
      <c r="F66" s="5">
        <v>1</v>
      </c>
      <c r="G66" s="7">
        <v>1706</v>
      </c>
      <c r="H66" s="7">
        <v>110.45070422535211</v>
      </c>
      <c r="I66" s="7">
        <v>3550.2012072434609</v>
      </c>
      <c r="J66" s="5">
        <v>1.56</v>
      </c>
      <c r="K66" s="8">
        <v>60.04</v>
      </c>
    </row>
    <row r="67" spans="1:11" x14ac:dyDescent="0.25">
      <c r="A67" s="4" t="s">
        <v>11</v>
      </c>
      <c r="B67" s="5" t="s">
        <v>100</v>
      </c>
      <c r="C67" s="5" t="s">
        <v>147</v>
      </c>
      <c r="D67" s="5" t="s">
        <v>148</v>
      </c>
      <c r="E67" s="6">
        <v>1</v>
      </c>
      <c r="F67" s="5">
        <v>1</v>
      </c>
      <c r="G67" s="7">
        <v>211</v>
      </c>
      <c r="H67" s="7">
        <v>23.702702702702702</v>
      </c>
      <c r="I67" s="7">
        <v>761.87258687258691</v>
      </c>
      <c r="J67" s="5">
        <v>2.4000000000000004</v>
      </c>
      <c r="K67" s="8">
        <v>17.855263157894736</v>
      </c>
    </row>
    <row r="68" spans="1:11" x14ac:dyDescent="0.25">
      <c r="A68" s="4" t="s">
        <v>11</v>
      </c>
      <c r="B68" s="5" t="s">
        <v>100</v>
      </c>
      <c r="C68" s="5" t="s">
        <v>149</v>
      </c>
      <c r="D68" s="5" t="s">
        <v>150</v>
      </c>
      <c r="E68" s="6">
        <v>1</v>
      </c>
      <c r="F68" s="5">
        <v>1</v>
      </c>
      <c r="G68" s="7">
        <v>196</v>
      </c>
      <c r="H68" s="7">
        <v>15.453488372093023</v>
      </c>
      <c r="I68" s="7">
        <v>496.7192691029901</v>
      </c>
      <c r="J68" s="5">
        <v>2.4000000000000004</v>
      </c>
      <c r="K68" s="8">
        <v>12.875</v>
      </c>
    </row>
    <row r="69" spans="1:11" x14ac:dyDescent="0.25">
      <c r="A69" s="4" t="s">
        <v>11</v>
      </c>
      <c r="B69" s="5" t="s">
        <v>100</v>
      </c>
      <c r="C69" s="5" t="s">
        <v>151</v>
      </c>
      <c r="D69" s="5" t="s">
        <v>152</v>
      </c>
      <c r="E69" s="6">
        <v>1</v>
      </c>
      <c r="F69" s="5">
        <v>1</v>
      </c>
      <c r="G69" s="7">
        <v>101</v>
      </c>
      <c r="H69" s="7">
        <v>8.924050632911392</v>
      </c>
      <c r="I69" s="7">
        <v>286.84448462929475</v>
      </c>
      <c r="J69" s="5">
        <v>2.4000000000000004</v>
      </c>
      <c r="K69" s="8">
        <v>7.4268292682926829</v>
      </c>
    </row>
    <row r="70" spans="1:11" x14ac:dyDescent="0.25">
      <c r="A70" s="4" t="s">
        <v>11</v>
      </c>
      <c r="B70" s="5" t="s">
        <v>100</v>
      </c>
      <c r="C70" s="5" t="s">
        <v>153</v>
      </c>
      <c r="D70" s="5" t="s">
        <v>154</v>
      </c>
      <c r="E70" s="6">
        <v>1</v>
      </c>
      <c r="F70" s="5">
        <v>1</v>
      </c>
      <c r="G70" s="7">
        <v>1345</v>
      </c>
      <c r="H70" s="7">
        <v>55.404761904761905</v>
      </c>
      <c r="I70" s="7">
        <v>1780.8673469387757</v>
      </c>
      <c r="J70" s="5">
        <v>0.89999999999999991</v>
      </c>
      <c r="K70" s="8">
        <v>29.681818181818183</v>
      </c>
    </row>
    <row r="71" spans="1:11" x14ac:dyDescent="0.25">
      <c r="A71" s="4" t="s">
        <v>11</v>
      </c>
      <c r="B71" s="5" t="s">
        <v>100</v>
      </c>
      <c r="C71" s="5" t="s">
        <v>155</v>
      </c>
      <c r="D71" s="5" t="s">
        <v>156</v>
      </c>
      <c r="E71" s="6">
        <v>1</v>
      </c>
      <c r="F71" s="5">
        <v>1</v>
      </c>
      <c r="G71" s="7">
        <v>8</v>
      </c>
      <c r="H71" s="7">
        <v>12.953125</v>
      </c>
      <c r="I71" s="7">
        <v>416.35044642857144</v>
      </c>
      <c r="J71" s="5">
        <v>1.08</v>
      </c>
      <c r="K71" s="8">
        <v>10.671641791044776</v>
      </c>
    </row>
    <row r="72" spans="1:11" x14ac:dyDescent="0.25">
      <c r="A72" s="4" t="s">
        <v>11</v>
      </c>
      <c r="B72" s="5" t="s">
        <v>100</v>
      </c>
      <c r="C72" s="5" t="s">
        <v>157</v>
      </c>
      <c r="D72" s="5" t="s">
        <v>158</v>
      </c>
      <c r="E72" s="6">
        <v>1</v>
      </c>
      <c r="F72" s="5">
        <v>1</v>
      </c>
      <c r="G72" s="7">
        <v>1131</v>
      </c>
      <c r="H72" s="7">
        <v>68.857142857142861</v>
      </c>
      <c r="I72" s="7">
        <v>2213.2653061224491</v>
      </c>
      <c r="J72" s="5">
        <v>2.5</v>
      </c>
      <c r="K72" s="8">
        <v>40.372093023255815</v>
      </c>
    </row>
    <row r="73" spans="1:11" x14ac:dyDescent="0.25">
      <c r="A73" s="4" t="s">
        <v>11</v>
      </c>
      <c r="B73" s="5" t="s">
        <v>100</v>
      </c>
      <c r="C73" s="5" t="s">
        <v>159</v>
      </c>
      <c r="D73" s="5" t="s">
        <v>160</v>
      </c>
      <c r="E73" s="6">
        <v>1</v>
      </c>
      <c r="F73" s="5">
        <v>1</v>
      </c>
      <c r="G73" s="7">
        <v>1739</v>
      </c>
      <c r="H73" s="7">
        <v>69.094117647058823</v>
      </c>
      <c r="I73" s="7">
        <v>2220.8823529411766</v>
      </c>
      <c r="J73" s="5">
        <v>1.7999999999999998</v>
      </c>
      <c r="K73" s="8">
        <v>42.511363636363633</v>
      </c>
    </row>
    <row r="74" spans="1:11" x14ac:dyDescent="0.25">
      <c r="A74" s="4" t="s">
        <v>11</v>
      </c>
      <c r="B74" s="5" t="s">
        <v>100</v>
      </c>
      <c r="C74" s="5" t="s">
        <v>161</v>
      </c>
      <c r="D74" s="5" t="s">
        <v>162</v>
      </c>
      <c r="E74" s="6">
        <v>1</v>
      </c>
      <c r="F74" s="5">
        <v>1</v>
      </c>
      <c r="G74" s="7">
        <v>488</v>
      </c>
      <c r="H74" s="7">
        <v>25.853658536585368</v>
      </c>
      <c r="I74" s="7">
        <v>831.01045296167263</v>
      </c>
      <c r="J74" s="5">
        <v>3</v>
      </c>
      <c r="K74" s="8">
        <v>12.627906976744185</v>
      </c>
    </row>
    <row r="75" spans="1:11" x14ac:dyDescent="0.25">
      <c r="A75" s="4" t="s">
        <v>11</v>
      </c>
      <c r="B75" s="5" t="s">
        <v>100</v>
      </c>
      <c r="C75" s="5" t="s">
        <v>163</v>
      </c>
      <c r="D75" s="5" t="s">
        <v>164</v>
      </c>
      <c r="E75" s="6"/>
      <c r="F75" s="5">
        <v>1</v>
      </c>
      <c r="G75" s="7">
        <v>0</v>
      </c>
      <c r="H75" s="7"/>
      <c r="I75" s="7"/>
      <c r="J75" s="5">
        <v>0.89999999999999991</v>
      </c>
      <c r="K75" s="8"/>
    </row>
    <row r="76" spans="1:11" x14ac:dyDescent="0.25">
      <c r="A76" s="4" t="s">
        <v>11</v>
      </c>
      <c r="B76" s="5" t="s">
        <v>100</v>
      </c>
      <c r="C76" s="5" t="s">
        <v>165</v>
      </c>
      <c r="D76" s="5" t="s">
        <v>166</v>
      </c>
      <c r="E76" s="6"/>
      <c r="F76" s="5">
        <v>1</v>
      </c>
      <c r="G76" s="7">
        <v>0</v>
      </c>
      <c r="H76" s="7"/>
      <c r="I76" s="7"/>
      <c r="J76" s="5">
        <v>0.89999999999999991</v>
      </c>
      <c r="K76" s="8"/>
    </row>
    <row r="77" spans="1:11" x14ac:dyDescent="0.25">
      <c r="A77" s="12" t="s">
        <v>71</v>
      </c>
      <c r="B77" s="9"/>
      <c r="C77" s="9"/>
      <c r="D77" s="9"/>
      <c r="E77" s="15">
        <f>SUBTOTAL(109,Table1[כמות מוצרים במלאי])</f>
        <v>45</v>
      </c>
      <c r="F77" s="13">
        <f>SUBTOTAL(109,Table1[פעיל מק"ט])</f>
        <v>75</v>
      </c>
      <c r="G77" s="13"/>
      <c r="H77" s="13"/>
      <c r="I77" s="13"/>
      <c r="J77" s="13"/>
      <c r="K77" s="14">
        <f>SUBTOTAL(109,Table1[כמות לקוחות שהזמנינו for -מכר- average per Date])</f>
        <v>1695.0095174491321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Sverdlik</dc:creator>
  <cp:lastModifiedBy>Dan Sverdlik</cp:lastModifiedBy>
  <dcterms:created xsi:type="dcterms:W3CDTF">2026-05-10T12:45:32Z</dcterms:created>
  <dcterms:modified xsi:type="dcterms:W3CDTF">2026-05-10T13:07:40Z</dcterms:modified>
</cp:coreProperties>
</file>