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4160"/>
  </bookViews>
  <sheets>
    <sheet sheetId="4" name="MAHSAN דגים" state="visible" r:id="rId4"/>
    <sheet sheetId="3" name="MAHSAN חלבי" state="visible" r:id="rId5"/>
    <sheet sheetId="1" name="MAHSAN 8 קפוא" state="visible" r:id="rId6"/>
    <sheet sheetId="2" name="סדר קפוא" state="visible" r:id="rId7"/>
    <sheet sheetId="5" name="סדר חלבי" state="visible" r:id="rId8"/>
    <sheet sheetId="6" name="סדר דגים" state="visible" r:id="rId9"/>
    <sheet sheetId="7" name="מחסן מעבר Trn" state="visible" r:id="rId10"/>
    <sheet sheetId="8" name="מחסן צפון Zafn" state="visible" r:id="rId11"/>
  </sheets>
  <definedNames>
    <definedName name="_xlnm.Print_Area" localSheetId="0">'MAHSAN דגים'!$A1:$AE17</definedName>
    <definedName name="_xlnm.Print_Area" localSheetId="1">'MAHSAN חלבי'!$A1:$P13</definedName>
  </definedNames>
  <calcPr calcId="171027"/>
</workbook>
</file>

<file path=xl/sharedStrings.xml><?xml version="1.0" encoding="utf-8"?>
<sst xmlns="http://schemas.openxmlformats.org/spreadsheetml/2006/main" count="1147" uniqueCount="557">
  <si>
    <t>דגים  ·  הזמנות/d: 1481 | מכר: 10.8 PAL/d  ·  פעיל: 40 | אפס מלאי: 15   ║   כל המחסנים: 4586 הזמנות/d</t>
  </si>
  <si>
    <t>BI עודכן: 11.05, 12:25</t>
  </si>
  <si>
    <t>12 BAYS</t>
  </si>
  <si>
    <r>
      <rPr>
        <sz val="8"/>
        <rFont val="Arial"/>
      </rPr>
      <t xml:space="preserve">#55
</t>
    </r>
    <r>
      <rPr>
        <sz val="8"/>
        <rFont val="Arial"/>
      </rPr>
      <t xml:space="preserve">1108
</t>
    </r>
    <r>
      <rPr>
        <b/>
        <sz val="10"/>
        <rFont val="Arial"/>
      </rPr>
      <t xml:space="preserve">סלט אצות ים-צ'וקה150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55.4 קרט | 0.1 PAL
</t>
    </r>
    <r>
      <rPr>
        <sz val="8"/>
        <rFont val="Arial"/>
      </rPr>
      <t xml:space="preserve">KG: 0.90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</si>
  <si>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#54
</t>
    </r>
    <r>
      <rPr>
        <sz val="8"/>
        <rFont val="Arial"/>
      </rPr>
      <t xml:space="preserve">1163
</t>
    </r>
    <r>
      <rPr>
        <b/>
        <sz val="10"/>
        <rFont val="Arial"/>
      </rPr>
      <t xml:space="preserve">תיכות פילה דג הרינג מומלח בשמן מצונן150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80.5 קרט | 0.2 PAL
</t>
    </r>
    <r>
      <rPr>
        <sz val="8"/>
        <rFont val="Arial"/>
      </rPr>
      <t xml:space="preserve">KG: 1.50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</si>
  <si>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#49
</t>
    </r>
    <r>
      <rPr>
        <sz val="8"/>
        <rFont val="Arial"/>
      </rPr>
      <t xml:space="preserve">1017
</t>
    </r>
    <r>
      <rPr>
        <b/>
        <sz val="10"/>
        <rFont val="Arial"/>
      </rPr>
      <t xml:space="preserve">איקרה ביצי דג טרוטונית והרינג עם פורל וסלמון180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56.5 קרט | 0.2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</si>
  <si>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#48
</t>
    </r>
    <r>
      <rPr>
        <sz val="8"/>
        <rFont val="Arial"/>
      </rPr>
      <t xml:space="preserve">1171
</t>
    </r>
    <r>
      <rPr>
        <b/>
        <sz val="10"/>
        <rFont val="Arial"/>
      </rPr>
      <t xml:space="preserve">חתיכות פילה דג הרינג מומלח בשמן מצונן עם בצל290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25.6 קרט | 0.1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</si>
  <si>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#47
</t>
    </r>
    <r>
      <rPr>
        <sz val="8"/>
        <rFont val="Arial"/>
      </rPr>
      <t xml:space="preserve">1015
</t>
    </r>
    <r>
      <rPr>
        <b/>
        <sz val="10"/>
        <rFont val="Arial"/>
      </rPr>
      <t xml:space="preserve">איקרה ביצי דג טרוטונית והרינג180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20.9 קרט | 0.1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</si>
  <si>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#46
</t>
    </r>
    <r>
      <rPr>
        <sz val="8"/>
        <rFont val="Arial"/>
      </rPr>
      <t xml:space="preserve">1170
</t>
    </r>
    <r>
      <rPr>
        <b/>
        <sz val="10"/>
        <rFont val="Arial"/>
      </rPr>
      <t xml:space="preserve">חתיכות פילה דג הרינג מומלח בשמן מצונן290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38.7 קרט | 0.2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</si>
  <si>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#45
</t>
    </r>
    <r>
      <rPr>
        <sz val="8"/>
        <rFont val="Arial"/>
      </rPr>
      <t xml:space="preserve">1049
</t>
    </r>
    <r>
      <rPr>
        <b/>
        <sz val="10"/>
        <rFont val="Arial"/>
      </rPr>
      <t xml:space="preserve">חתיכות פילה דג הרינג סקנדינבי מלוח מצונן260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110.5 קרט | 0.5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</si>
  <si>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400001
</t>
    </r>
    <r>
      <rPr>
        <b/>
        <sz val="10"/>
        <rFont val="Arial"/>
      </rPr>
      <t xml:space="preserve">נתחי פילה הרינג עם בצל וזיתים מצונן" פרובינציאל500  "ג6)NP)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59.6 קרט | 0.3 PAL
</t>
    </r>
    <r>
      <rPr>
        <sz val="8"/>
        <rFont val="Arial"/>
      </rPr>
      <t xml:space="preserve">KG: 3.00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</si>
  <si>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#35
</t>
    </r>
    <r>
      <rPr>
        <sz val="8"/>
        <rFont val="Arial"/>
      </rPr>
      <t xml:space="preserve">1012
</t>
    </r>
    <r>
      <rPr>
        <b/>
        <sz val="10"/>
        <rFont val="Arial"/>
      </rPr>
      <t xml:space="preserve">חתיכות פילה דג הרינג מלוח מצונן עם בצל260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72.1 קרט | 0.3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</si>
  <si>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1168
</t>
    </r>
    <r>
      <rPr>
        <b/>
        <sz val="10"/>
        <rFont val="Arial"/>
      </rPr>
      <t xml:space="preserve">חתיכות פילה דג הרינג מומלח בשמן מצונן עם תבלין500 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40.4 קרט | 0.2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9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</si>
  <si>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#33
</t>
    </r>
    <r>
      <rPr>
        <sz val="8"/>
        <rFont val="Arial"/>
      </rPr>
      <t xml:space="preserve">1174
</t>
    </r>
    <r>
      <rPr>
        <b/>
        <sz val="10"/>
        <rFont val="Arial"/>
      </rPr>
      <t xml:space="preserve">פילה דג הרינג מומלח XXL בשמן מצונן300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69.1 קרט | 0.2 PAL
</t>
    </r>
    <r>
      <rPr>
        <sz val="8"/>
        <rFont val="Arial"/>
      </rPr>
      <t xml:space="preserve">KG: 1.80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</si>
  <si>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1167
</t>
    </r>
    <r>
      <rPr>
        <b/>
        <sz val="10"/>
        <rFont val="Arial"/>
      </rPr>
      <t xml:space="preserve">חתיכות פילה דג הרינג סקנדינבי מומלח בשמן מצונן500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59.2 קרט | 0.3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18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</si>
  <si>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#31
</t>
    </r>
    <r>
      <rPr>
        <sz val="8"/>
        <rFont val="Arial"/>
      </rPr>
      <t xml:space="preserve">1057
</t>
    </r>
    <r>
      <rPr>
        <b/>
        <sz val="10"/>
        <rFont val="Arial"/>
      </rPr>
      <t xml:space="preserve">סלט אצות ים מוחמצות עם בצל ופפריקה מתוקה200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8.9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</si>
  <si>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1166
</t>
    </r>
    <r>
      <rPr>
        <b/>
        <sz val="10"/>
        <rFont val="Arial"/>
      </rPr>
      <t xml:space="preserve">חתיכות פילה דג הרינג מומלח בשמן מצונן500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70.7 קרט | 0.4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19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</si>
  <si>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#26
</t>
    </r>
    <r>
      <rPr>
        <sz val="8"/>
        <rFont val="Arial"/>
      </rPr>
      <t xml:space="preserve">1047
</t>
    </r>
    <r>
      <rPr>
        <b/>
        <sz val="10"/>
        <rFont val="Arial"/>
      </rPr>
      <t xml:space="preserve">חתיכות פילה דג הרינג מתובל מלוח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24.6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</si>
  <si>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400002
</t>
    </r>
    <r>
      <rPr>
        <b/>
        <sz val="10"/>
        <rFont val="Arial"/>
      </rPr>
      <t xml:space="preserve">נתחי פילה הרינג כבוש עם בצל מצונן520  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25.3 קרט | 0.1 PAL
</t>
    </r>
    <r>
      <rPr>
        <sz val="8"/>
        <rFont val="Arial"/>
      </rPr>
      <t xml:space="preserve">KG: 3.12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</si>
  <si>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#20
</t>
    </r>
    <r>
      <rPr>
        <sz val="8"/>
        <rFont val="Arial"/>
      </rPr>
      <t xml:space="preserve">1005
</t>
    </r>
    <r>
      <rPr>
        <b/>
        <sz val="10"/>
        <rFont val="Arial"/>
      </rPr>
      <t xml:space="preserve">חתיכות פילה דג הרינג מלוח מצונן400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66.3 קרט | 0.3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</si>
  <si>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#18
</t>
    </r>
    <r>
      <rPr>
        <sz val="8"/>
        <rFont val="Arial"/>
      </rPr>
      <t xml:space="preserve">1120
</t>
    </r>
    <r>
      <rPr>
        <b/>
        <sz val="10"/>
        <rFont val="Arial"/>
      </rPr>
      <t xml:space="preserve">פילה דג הרינג סקנדינבי מלוח מצונן250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68.9 קרט | 0.3 PAL
</t>
    </r>
    <r>
      <rPr>
        <sz val="8"/>
        <rFont val="Arial"/>
      </rPr>
      <t xml:space="preserve">KG: 2.50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</si>
  <si>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1000
</t>
    </r>
    <r>
      <rPr>
        <b/>
        <sz val="10"/>
        <rFont val="Arial"/>
      </rPr>
      <t xml:space="preserve">פילה דג הרינג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32.3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</si>
  <si>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#16
</t>
    </r>
    <r>
      <rPr>
        <sz val="8"/>
        <rFont val="Arial"/>
      </rPr>
      <t xml:space="preserve">1011
</t>
    </r>
    <r>
      <rPr>
        <b/>
        <sz val="10"/>
        <rFont val="Arial"/>
      </rPr>
      <t xml:space="preserve">חתיכות פילה דג הרינג מלוח מצונן250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73.1 קרט | 0.3 PAL
</t>
    </r>
    <r>
      <rPr>
        <sz val="8"/>
        <rFont val="Arial"/>
      </rPr>
      <t xml:space="preserve">KG: 2.50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</si>
  <si>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1127
</t>
    </r>
    <r>
      <rPr>
        <b/>
        <sz val="10"/>
        <rFont val="Arial"/>
      </rPr>
      <t xml:space="preserve">סלט איקרה עם פורל וסלמון מעושנים 900 גרםNP(8)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2.9 קרט | 0.1 PAL
</t>
    </r>
    <r>
      <rPr>
        <sz val="8"/>
        <rFont val="Arial"/>
      </rPr>
      <t xml:space="preserve">KG: 7.20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</si>
  <si>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t>כניסה</t>
  </si>
  <si>
    <r>
      <rPr>
        <sz val="8"/>
        <rFont val="Arial"/>
      </rPr>
      <t xml:space="preserve">#56
</t>
    </r>
    <r>
      <rPr>
        <sz val="8"/>
        <rFont val="Arial"/>
      </rPr>
      <t xml:space="preserve">1164
</t>
    </r>
    <r>
      <rPr>
        <b/>
        <sz val="10"/>
        <rFont val="Arial"/>
      </rPr>
      <t xml:space="preserve">חתיכות פילה דג הרינג מומלח עם בצל בשמן מצונן150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42.8 קרט | 0.1 PAL
</t>
    </r>
    <r>
      <rPr>
        <sz val="8"/>
        <rFont val="Arial"/>
      </rPr>
      <t xml:space="preserve">KG: 1.50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</si>
  <si>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#53
</t>
    </r>
    <r>
      <rPr>
        <sz val="8"/>
        <rFont val="Arial"/>
      </rPr>
      <t xml:space="preserve">1109
</t>
    </r>
    <r>
      <rPr>
        <b/>
        <sz val="10"/>
        <rFont val="Arial"/>
      </rPr>
      <t xml:space="preserve">איקרה ביצי דג טרוטונית והרינג עם אבקדו,פורל וסלמון180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13.0 קרט | 0.0 PAL
</t>
    </r>
    <r>
      <rPr>
        <sz val="8"/>
        <rFont val="Arial"/>
      </rPr>
      <t xml:space="preserve">KG: 1.08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</si>
  <si>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#52
</t>
    </r>
    <r>
      <rPr>
        <sz val="8"/>
        <rFont val="Arial"/>
      </rPr>
      <t xml:space="preserve">1173
</t>
    </r>
    <r>
      <rPr>
        <b/>
        <sz val="10"/>
        <rFont val="Arial"/>
      </rPr>
      <t xml:space="preserve">חתיכות פילה דג הרינג  סקנדינבי מומלח בשמן מצונן290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13.5 קרט | 0.1 PAL
</t>
    </r>
    <r>
      <rPr>
        <sz val="8"/>
        <rFont val="Arial"/>
      </rPr>
      <t xml:space="preserve">KG: 1.74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</si>
  <si>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#51
</t>
    </r>
    <r>
      <rPr>
        <sz val="8"/>
        <rFont val="Arial"/>
      </rPr>
      <t xml:space="preserve">1018
</t>
    </r>
    <r>
      <rPr>
        <b/>
        <sz val="10"/>
        <rFont val="Arial"/>
      </rPr>
      <t xml:space="preserve">ביצי דג טרוטונית אטלנטי עם חסילונים180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36.5 קרט | 0.1 PAL
</t>
    </r>
    <r>
      <rPr>
        <sz val="8"/>
        <rFont val="Arial"/>
      </rPr>
      <t xml:space="preserve">KG: 1.08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</si>
  <si>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#44
</t>
    </r>
    <r>
      <rPr>
        <sz val="8"/>
        <rFont val="Arial"/>
      </rPr>
      <t xml:space="preserve">1165
</t>
    </r>
    <r>
      <rPr>
        <b/>
        <sz val="10"/>
        <rFont val="Arial"/>
      </rPr>
      <t xml:space="preserve">פילה דג הרינג מומלח בשמן מצונן400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101.1 קרט | 0.4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</si>
  <si>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#43
</t>
    </r>
    <r>
      <rPr>
        <sz val="8"/>
        <rFont val="Arial"/>
      </rPr>
      <t xml:space="preserve">1020
</t>
    </r>
    <r>
      <rPr>
        <b/>
        <sz val="10"/>
        <rFont val="Arial"/>
      </rPr>
      <t xml:space="preserve">ביצי דג שיבוט אטלנטי מומלח מצונן130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28.3 קרט | 0.1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</si>
  <si>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#42
</t>
    </r>
    <r>
      <rPr>
        <sz val="8"/>
        <rFont val="Arial"/>
      </rPr>
      <t xml:space="preserve">1157
</t>
    </r>
    <r>
      <rPr>
        <b/>
        <sz val="10"/>
        <rFont val="Arial"/>
      </rPr>
      <t xml:space="preserve">פילה הרינג קצוץ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42.8 קרט | 0.2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</si>
  <si>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#41
</t>
    </r>
    <r>
      <rPr>
        <sz val="8"/>
        <rFont val="Arial"/>
      </rPr>
      <t xml:space="preserve">1019
</t>
    </r>
    <r>
      <rPr>
        <b/>
        <sz val="10"/>
        <rFont val="Arial"/>
      </rPr>
      <t xml:space="preserve">ביצי דג זהבנון מומלח מצונן130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51.0 קרט | 0.2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</si>
  <si>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#39
</t>
    </r>
    <r>
      <rPr>
        <sz val="8"/>
        <rFont val="Arial"/>
      </rPr>
      <t xml:space="preserve">1014
</t>
    </r>
    <r>
      <rPr>
        <b/>
        <sz val="10"/>
        <rFont val="Arial"/>
      </rPr>
      <t xml:space="preserve">חתיכות פילה דג הרינג מלוח מצונן260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119.4 קרט | 0.5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</si>
  <si>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#38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400003
</t>
    </r>
    <r>
      <rPr>
        <b/>
        <sz val="10"/>
        <rFont val="Arial"/>
      </rPr>
      <t xml:space="preserve">נתחי פילה הרינג מומלח עם שמיר בשמן מצונן500 ג6)NP)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28.6 קרט | 0.1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</si>
  <si>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#37
</t>
    </r>
    <r>
      <rPr>
        <sz val="8"/>
        <rFont val="Arial"/>
      </rPr>
      <t xml:space="preserve">1013
</t>
    </r>
    <r>
      <rPr>
        <b/>
        <sz val="10"/>
        <rFont val="Arial"/>
      </rPr>
      <t xml:space="preserve">חתיכות פילה דג הרינג מלוח מצונן עם תבלין260 ג(6)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49.3 קרט | 0.2 PAL
</t>
    </r>
    <r>
      <rPr>
        <sz val="8"/>
        <rFont val="Arial"/>
      </rPr>
      <t xml:space="preserve">KG: 1.56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</si>
  <si>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#30
</t>
    </r>
    <r>
      <rPr>
        <sz val="8"/>
        <rFont val="Arial"/>
      </rPr>
      <t xml:space="preserve">1056
</t>
    </r>
    <r>
      <rPr>
        <b/>
        <sz val="10"/>
        <rFont val="Arial"/>
      </rPr>
      <t xml:space="preserve">סלט אצות ים מוחמצות ומתובלות עם גזר200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15.5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</si>
  <si>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#29
</t>
    </r>
    <r>
      <rPr>
        <sz val="8"/>
        <rFont val="Arial"/>
      </rPr>
      <t xml:space="preserve">1055
</t>
    </r>
    <r>
      <rPr>
        <b/>
        <sz val="10"/>
        <rFont val="Arial"/>
      </rPr>
      <t xml:space="preserve">סלט אצות ים מוחמצות200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23.7 קרט | 0.1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</si>
  <si>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#28
</t>
    </r>
    <r>
      <rPr>
        <sz val="8"/>
        <rFont val="Arial"/>
      </rPr>
      <t xml:space="preserve">1048
</t>
    </r>
    <r>
      <rPr>
        <b/>
        <sz val="10"/>
        <rFont val="Arial"/>
      </rPr>
      <t xml:space="preserve">חתיכות פילה דג הרינג סקנדינבי מלוח בשמן400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43.5 קרט | 0.2 PAL
</t>
    </r>
    <r>
      <rPr>
        <sz val="8"/>
        <rFont val="Arial"/>
      </rPr>
      <t xml:space="preserve">KG: 2.40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</si>
  <si>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1004
</t>
    </r>
    <r>
      <rPr>
        <b/>
        <sz val="10"/>
        <rFont val="Arial"/>
      </rPr>
      <t xml:space="preserve">חתיכות פילה דג הרינג  סקנדינבי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33.0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</si>
  <si>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1002
</t>
    </r>
    <r>
      <rPr>
        <b/>
        <sz val="10"/>
        <rFont val="Arial"/>
      </rPr>
      <t xml:space="preserve">חתיכות פילה דג הרינג מומלח בשמן מצונן1200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37.1 קרט | 0.2 PAL
</t>
    </r>
    <r>
      <rPr>
        <sz val="8"/>
        <rFont val="Arial"/>
      </rPr>
      <t xml:space="preserve">KG: 3.60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</si>
  <si>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1126
</t>
    </r>
    <r>
      <rPr>
        <b/>
        <sz val="10"/>
        <rFont val="Arial"/>
      </rPr>
      <t xml:space="preserve">סלט איקרה ורודה 900 גרםNP(8)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3.2 קרט | 0.1 PAL
</t>
    </r>
    <r>
      <rPr>
        <sz val="8"/>
        <rFont val="Arial"/>
      </rPr>
      <t xml:space="preserve">KG: 7.20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</si>
  <si>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1175
</t>
    </r>
    <r>
      <rPr>
        <b/>
        <sz val="10"/>
        <rFont val="Arial"/>
      </rPr>
      <t xml:space="preserve">פילה דג הרינג סקנדינבי מומלח בשמן מצונן1000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25.9 קרט | 0.1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</si>
  <si>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1006
</t>
    </r>
    <r>
      <rPr>
        <b/>
        <sz val="10"/>
        <rFont val="Arial"/>
      </rPr>
      <t xml:space="preserve">פילה דג הרינג מומלח בשמן מצונן1000 ג(3)'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38.6 קרט | 0.2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</si>
  <si>
    <t>12 bays</t>
  </si>
  <si>
    <t>אפס מלאי</t>
  </si>
  <si>
    <t>מקט</t>
  </si>
  <si>
    <t>שם מוצר</t>
  </si>
  <si>
    <t>משפחה</t>
  </si>
  <si>
    <t>מלאי</t>
  </si>
  <si>
    <t>403003</t>
  </si>
  <si>
    <t xml:space="preserve">פילה סלמון  מעושן פרוס מצונן250 גרםNP(9) </t>
  </si>
  <si>
    <t>NORD PORT מצונן</t>
  </si>
  <si>
    <t>403004</t>
  </si>
  <si>
    <t xml:space="preserve">פילה פורל  מעושן פרוס מצונן250 גרםNP(9) </t>
  </si>
  <si>
    <t>403007</t>
  </si>
  <si>
    <t xml:space="preserve">פילה מקרל מומלח בעישון חם מצונן150 גרם8) NP) </t>
  </si>
  <si>
    <t>403008</t>
  </si>
  <si>
    <t xml:space="preserve">פילה מקרל מומלח בעישון חם עם פלפל שחור גרוס150 גרם8) NP) </t>
  </si>
  <si>
    <t>403001</t>
  </si>
  <si>
    <t xml:space="preserve">פילה סלמון  מעושן פרוס מצונן100 גרםNP(10) </t>
  </si>
  <si>
    <t>403002</t>
  </si>
  <si>
    <t xml:space="preserve">פילה פורל מעושן פרוס מצונן100 גרםNP(10) </t>
  </si>
  <si>
    <t>403005</t>
  </si>
  <si>
    <t xml:space="preserve">פילה סלמון  מעושן מצונן200 גרםNP(5) </t>
  </si>
  <si>
    <t>403006</t>
  </si>
  <si>
    <t xml:space="preserve">פילה פורל  מעושן מצונן200 גרםNP(5) </t>
  </si>
  <si>
    <t>1125</t>
  </si>
  <si>
    <t xml:space="preserve">סלט איקרה לבנה 900 גרםNP(8) </t>
  </si>
  <si>
    <t>NORD PORT</t>
  </si>
  <si>
    <t>1008</t>
  </si>
  <si>
    <t>פילה דג הרינג מלוח מצונן עם תבלין250 ג(10)'</t>
  </si>
  <si>
    <t>SANTA BREMOR Fish</t>
  </si>
  <si>
    <t>1001</t>
  </si>
  <si>
    <t>פילה דג הרינג  סקנדינבימומלח בשמן מצונן1200 ג(3)'</t>
  </si>
  <si>
    <t>1009</t>
  </si>
  <si>
    <t>חתיכות פילה הרינג מלוח מצונן עם תבלין200 ג(12)'</t>
  </si>
  <si>
    <t>1010</t>
  </si>
  <si>
    <t>חתיכות פילה דג הרינג מלוח מצונן200 ג(12)'</t>
  </si>
  <si>
    <t>1154</t>
  </si>
  <si>
    <t>פילה דג הרינג מומלח בשמן מצונן230 ג(11)'</t>
  </si>
  <si>
    <t>1172</t>
  </si>
  <si>
    <t>חתיכות פילה דג הרינג מומלח בשמן מצונן עם תבלין290 ג(6)'</t>
  </si>
  <si>
    <t>חלבי  ·  הזמנות/d: 1434  ·  פעיל: 44 | אפס מלאי: 4   ║   כל המחסנים: 4586 הזמנות/d</t>
  </si>
  <si>
    <t xml:space="preserve">גיבוי 10 PALLETS </t>
  </si>
  <si>
    <r>
      <rPr>
        <sz val="8"/>
        <rFont val="Arial"/>
      </rPr>
      <t xml:space="preserve">#48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677
</t>
    </r>
    <r>
      <rPr>
        <b/>
        <sz val="10"/>
        <rFont val="Arial"/>
      </rPr>
      <t xml:space="preserve"> GURMANמעושן תחליף גבינה150 ג(14)'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64.5 קרט
</t>
    </r>
    <r>
      <rPr>
        <sz val="8"/>
        <rFont val="Arial"/>
      </rPr>
      <t xml:space="preserve">KG: 2.52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1228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</si>
  <si>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669
</t>
    </r>
    <r>
      <rPr>
        <b/>
        <sz val="10"/>
        <rFont val="Arial"/>
      </rPr>
      <t xml:space="preserve"> ROSSIYSKIYתחליף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37.5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1021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</si>
  <si>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#46
</t>
    </r>
    <r>
      <rPr>
        <sz val="8"/>
        <rFont val="Arial"/>
      </rPr>
      <t xml:space="preserve">668
</t>
    </r>
    <r>
      <rPr>
        <b/>
        <sz val="10"/>
        <rFont val="Arial"/>
      </rPr>
      <t xml:space="preserve"> DVAROתחליף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14.5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575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</si>
  <si>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#45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667
</t>
    </r>
    <r>
      <rPr>
        <b/>
        <sz val="10"/>
        <rFont val="Arial"/>
      </rPr>
      <t xml:space="preserve"> SVALIAתחליף גבינה150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36.1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1336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</si>
  <si>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#44
</t>
    </r>
    <r>
      <rPr>
        <sz val="8"/>
        <rFont val="Arial"/>
      </rPr>
      <t xml:space="preserve">650
</t>
    </r>
    <r>
      <rPr>
        <b/>
        <sz val="10"/>
        <rFont val="Arial"/>
      </rPr>
      <t xml:space="preserve">פרוסות גבינה 24.7% "MAASDAM" שומן150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8.2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305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</si>
  <si>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#43
</t>
    </r>
    <r>
      <rPr>
        <sz val="8"/>
        <rFont val="Arial"/>
      </rPr>
      <t xml:space="preserve">649
</t>
    </r>
    <r>
      <rPr>
        <b/>
        <sz val="10"/>
        <rFont val="Arial"/>
      </rPr>
      <t xml:space="preserve">פרוסות גבינה 27% "EMMENTAL" שומן150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8.2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388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</si>
  <si>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673
</t>
    </r>
    <r>
      <rPr>
        <b/>
        <sz val="10"/>
        <rFont val="Arial"/>
      </rPr>
      <t xml:space="preserve"> GURMANמעושן תחליף גבינה600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7.9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233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</si>
  <si>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672
</t>
    </r>
    <r>
      <rPr>
        <b/>
        <sz val="10"/>
        <rFont val="Arial"/>
      </rPr>
      <t xml:space="preserve"> ROSSIYSKIYתחליף גבינה600 ג(9)'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7.2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151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</si>
  <si>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670
</t>
    </r>
    <r>
      <rPr>
        <b/>
        <sz val="10"/>
        <rFont val="Arial"/>
      </rPr>
      <t xml:space="preserve"> SVALIAתחליף גבינה600 ג(9)'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6.0 קרט
</t>
    </r>
    <r>
      <rPr>
        <sz val="8"/>
        <rFont val="Arial"/>
      </rPr>
      <t xml:space="preserve">KG: 5.40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165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</si>
  <si>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659
</t>
    </r>
    <r>
      <rPr>
        <b/>
        <sz val="10"/>
        <rFont val="Arial"/>
      </rPr>
      <t xml:space="preserve">גבינה מותכת 28%  שומן160 גרםSVALYA(6)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60.8 קרט
</t>
    </r>
    <r>
      <rPr>
        <sz val="8"/>
        <rFont val="Arial"/>
      </rPr>
      <t xml:space="preserve">KG: 0.96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2115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</si>
  <si>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#37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645
</t>
    </r>
    <r>
      <rPr>
        <b/>
        <sz val="10"/>
        <rFont val="Arial"/>
      </rPr>
      <t xml:space="preserve">טבורוג 350 5% גרם(8) (SVALYA)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93.7 קרט
</t>
    </r>
    <r>
      <rPr>
        <sz val="8"/>
        <rFont val="Arial"/>
      </rPr>
      <t xml:space="preserve">KG: 2.80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1311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</si>
  <si>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#26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1077
</t>
    </r>
    <r>
      <rPr>
        <b/>
        <sz val="10"/>
        <rFont val="Arial"/>
      </rPr>
      <t xml:space="preserve">שמנת 15% SMETANA שומן350 ג(12)'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114.0 קרט
</t>
    </r>
    <r>
      <rPr>
        <sz val="8"/>
        <rFont val="Arial"/>
      </rPr>
      <t xml:space="preserve">KG: 4.20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1799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</si>
  <si>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#27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631
</t>
    </r>
    <r>
      <rPr>
        <b/>
        <sz val="10"/>
        <rFont val="Arial"/>
      </rPr>
      <t xml:space="preserve">משקה חלב0.5 "RIAZENKA" ל(6)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92.7 קרט
</t>
    </r>
    <r>
      <rPr>
        <sz val="8"/>
        <rFont val="Arial"/>
      </rPr>
      <t xml:space="preserve">KG: 3.00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1828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</si>
  <si>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1076
</t>
    </r>
    <r>
      <rPr>
        <b/>
        <sz val="10"/>
        <rFont val="Arial"/>
      </rPr>
      <t xml:space="preserve">שמנת 30% SMETANA שומן200 ג(12)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128.1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1669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</si>
  <si>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1050
</t>
    </r>
    <r>
      <rPr>
        <b/>
        <sz val="10"/>
        <rFont val="Arial"/>
      </rPr>
      <t xml:space="preserve">דייסת שיבולת שועל200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457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</si>
  <si>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#30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1052
</t>
    </r>
    <r>
      <rPr>
        <b/>
        <sz val="10"/>
        <rFont val="Arial"/>
      </rPr>
      <t xml:space="preserve">דייסת סולת עם תותי בר200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55.4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</si>
  <si>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#31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1053
</t>
    </r>
    <r>
      <rPr>
        <b/>
        <sz val="10"/>
        <rFont val="Arial"/>
      </rPr>
      <t xml:space="preserve">דייסת אורז עם משמש200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530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</si>
  <si>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1060
</t>
    </r>
    <r>
      <rPr>
        <b/>
        <sz val="10"/>
        <rFont val="Arial"/>
      </rPr>
      <t xml:space="preserve">יוגורט יווני200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135.8 קרט
</t>
    </r>
    <r>
      <rPr>
        <sz val="8"/>
        <rFont val="Arial"/>
      </rPr>
      <t xml:space="preserve">KG: 1.20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345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</si>
  <si>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1062
</t>
    </r>
    <r>
      <rPr>
        <b/>
        <sz val="10"/>
        <rFont val="Arial"/>
      </rPr>
      <t xml:space="preserve">יוגורט יווני עם דובדבן200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100.8 קרט
</t>
    </r>
    <r>
      <rPr>
        <sz val="8"/>
        <rFont val="Arial"/>
      </rPr>
      <t xml:space="preserve">KG: 0.90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448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</si>
  <si>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#34
</t>
    </r>
    <r>
      <rPr>
        <sz val="14"/>
        <rFont val="Segoe UI Emoji"/>
      </rPr>
      <t xml:space="preserve">🏅 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646
</t>
    </r>
    <r>
      <rPr>
        <b/>
        <sz val="10"/>
        <rFont val="Arial"/>
      </rPr>
      <t xml:space="preserve">טבורוג 800 5% גרם(4) (SVALYA)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96.6 קרט
</t>
    </r>
    <r>
      <rPr>
        <sz val="8"/>
        <rFont val="Arial"/>
      </rPr>
      <t xml:space="preserve">KG: 3.20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212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</si>
  <si>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630
</t>
    </r>
    <r>
      <rPr>
        <b/>
        <sz val="10"/>
        <rFont val="Arial"/>
      </rPr>
      <t xml:space="preserve">קפיר0.9 "KEFIR" ל(10) '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33.8 קרט
</t>
    </r>
    <r>
      <rPr>
        <sz val="8"/>
        <rFont val="Arial"/>
      </rPr>
      <t xml:space="preserve">KG: 9.00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233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</si>
  <si>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#23
</t>
    </r>
    <r>
      <rPr>
        <sz val="8"/>
        <rFont val="Arial"/>
      </rPr>
      <t xml:space="preserve">413002
</t>
    </r>
    <r>
      <rPr>
        <b/>
        <sz val="10"/>
        <rFont val="Arial"/>
      </rPr>
      <t xml:space="preserve">גבינה קשה למחצה טילזיטר 28.5%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</si>
  <si>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#22
</t>
    </r>
    <r>
      <rPr>
        <sz val="8"/>
        <rFont val="Arial"/>
      </rPr>
      <t xml:space="preserve">413001
</t>
    </r>
    <r>
      <rPr>
        <b/>
        <sz val="10"/>
        <rFont val="Arial"/>
      </rPr>
      <t xml:space="preserve">גבינה קשה למחצה גאודה 28.5%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</si>
  <si>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#21
</t>
    </r>
    <r>
      <rPr>
        <sz val="8"/>
        <rFont val="Arial"/>
      </rPr>
      <t xml:space="preserve">413000
</t>
    </r>
    <r>
      <rPr>
        <b/>
        <sz val="10"/>
        <rFont val="Arial"/>
      </rPr>
      <t xml:space="preserve">גבינה קשה למחצה הולנד 24.5% שומן8) PRESIDENT) 
</t>
    </r>
    <r>
      <rPr>
        <color rgb="FFBBBBBB"/>
        <sz val="6"/>
        <rFont val="Arial"/>
      </rPr>
      <t xml:space="preserve">────────────────────
</t>
    </r>
    <r>
      <rPr>
        <sz val="8"/>
        <rFont val="Arial"/>
      </rPr>
      <t xml:space="preserve">KG: —
</t>
    </r>
  </si>
  <si>
    <r>
      <rPr>
        <sz val="8"/>
        <rFont val="Arial"/>
      </rPr>
      <t xml:space="preserve">#20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411500
</t>
    </r>
    <r>
      <rPr>
        <b/>
        <sz val="10"/>
        <rFont val="Arial"/>
      </rPr>
      <t xml:space="preserve">גבינת שמנת קלאסית 24.5% שומן180 גרם6)PRESIDENT)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68.0 קרט
</t>
    </r>
    <r>
      <rPr>
        <sz val="8"/>
        <rFont val="Arial"/>
      </rPr>
      <t xml:space="preserve">KG: 1.08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1432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</si>
  <si>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#19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410001
</t>
    </r>
    <r>
      <rPr>
        <b/>
        <sz val="10"/>
        <rFont val="Arial"/>
      </rPr>
      <t xml:space="preserve">שמנת חמוצה טבעית 20% שומן180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85.0 קרט
</t>
    </r>
    <r>
      <rPr>
        <sz val="8"/>
        <rFont val="Arial"/>
      </rPr>
      <t xml:space="preserve">KG: 1.44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</si>
  <si>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#18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410000
</t>
    </r>
    <r>
      <rPr>
        <b/>
        <sz val="10"/>
        <rFont val="Arial"/>
      </rPr>
      <t xml:space="preserve">שמנת חמוצה טבעית 15% שומן180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82.0 קרט
</t>
    </r>
    <r>
      <rPr>
        <sz val="8"/>
        <rFont val="Arial"/>
      </rPr>
      <t xml:space="preserve">KG: 1.44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</si>
  <si>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412202
</t>
    </r>
    <r>
      <rPr>
        <b/>
        <sz val="10"/>
        <rFont val="Arial"/>
      </rPr>
      <t xml:space="preserve">גבינה מותכת גאודה 14%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50.0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716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</si>
  <si>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#16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412201
</t>
    </r>
    <r>
      <rPr>
        <b/>
        <sz val="10"/>
        <rFont val="Arial"/>
      </rPr>
      <t xml:space="preserve">גבינה מותכת הולנד 14%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46.0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720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</si>
  <si>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#15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412200
</t>
    </r>
    <r>
      <rPr>
        <b/>
        <sz val="10"/>
        <rFont val="Arial"/>
      </rPr>
      <t xml:space="preserve">גבינה מותכת קרמי 14.1% שומן70 גרם24)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57.0 קרט
</t>
    </r>
    <r>
      <rPr>
        <sz val="8"/>
        <rFont val="Arial"/>
      </rPr>
      <t xml:space="preserve">KG: 1.68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709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</si>
  <si>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#14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412502
</t>
    </r>
    <r>
      <rPr>
        <b/>
        <sz val="10"/>
        <rFont val="Arial"/>
      </rPr>
      <t xml:space="preserve">גבינה מותכת מאסדם 17%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63.0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462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</si>
  <si>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412501
</t>
    </r>
    <r>
      <rPr>
        <b/>
        <sz val="10"/>
        <rFont val="Arial"/>
      </rPr>
      <t xml:space="preserve">גבינה מותכת גאודה 17%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64.0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462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</si>
  <si>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411001
</t>
    </r>
    <r>
      <rPr>
        <b/>
        <sz val="10"/>
        <rFont val="Arial"/>
      </rPr>
      <t xml:space="preserve">טבורוג 5% שומן300 גרם9)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77.0 קרט
</t>
    </r>
    <r>
      <rPr>
        <sz val="8"/>
        <rFont val="Arial"/>
      </rPr>
      <t xml:space="preserve">KG: 2.70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761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</si>
  <si>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411000
</t>
    </r>
    <r>
      <rPr>
        <b/>
        <sz val="10"/>
        <rFont val="Arial"/>
      </rPr>
      <t xml:space="preserve">טבורוג 5% שומן220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59.0 קרט
</t>
    </r>
    <r>
      <rPr>
        <sz val="8"/>
        <rFont val="Arial"/>
      </rPr>
      <t xml:space="preserve">KG: 2.64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775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</si>
  <si>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#3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410002
</t>
    </r>
    <r>
      <rPr>
        <b/>
        <sz val="10"/>
        <rFont val="Arial"/>
      </rPr>
      <t xml:space="preserve">שמנת חמוצה טבעית 15%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69.0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770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</si>
  <si>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#4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410003
</t>
    </r>
    <r>
      <rPr>
        <b/>
        <sz val="10"/>
        <rFont val="Arial"/>
      </rPr>
      <t xml:space="preserve">שמנת חמוצה טבעית 20%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66.0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602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</si>
  <si>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#5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410004
</t>
    </r>
    <r>
      <rPr>
        <b/>
        <sz val="10"/>
        <rFont val="Arial"/>
      </rPr>
      <t xml:space="preserve">שמנת חמוצה טבעית 30% שומן300 גרם8)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90.0 קרט
</t>
    </r>
    <r>
      <rPr>
        <sz val="8"/>
        <rFont val="Arial"/>
      </rPr>
      <t xml:space="preserve">KG: 2.40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578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</si>
  <si>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#6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413200
</t>
    </r>
    <r>
      <rPr>
        <b/>
        <sz val="10"/>
        <rFont val="Arial"/>
      </rPr>
      <t xml:space="preserve">גבינה קשה למחצה הולנד 24.5%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38.0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253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</si>
  <si>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#7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413201
</t>
    </r>
    <r>
      <rPr>
        <b/>
        <sz val="10"/>
        <rFont val="Arial"/>
      </rPr>
      <t xml:space="preserve">גבינה קשה למחצה גאודה 28.5%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38.0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314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</si>
  <si>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#8
</t>
    </r>
    <r>
      <rPr>
        <sz val="8"/>
        <rFont val="Arial"/>
      </rPr>
      <t xml:space="preserve">413202
</t>
    </r>
    <r>
      <rPr>
        <b/>
        <sz val="10"/>
        <rFont val="Arial"/>
      </rPr>
      <t xml:space="preserve">גבינה קשה למחצה טילזיטר 28.5% שומן160 גרם14)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32.0 קרט
</t>
    </r>
    <r>
      <rPr>
        <sz val="8"/>
        <rFont val="Arial"/>
      </rPr>
      <t xml:space="preserve">KG: 2.24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354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</si>
  <si>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#9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413500
</t>
    </r>
    <r>
      <rPr>
        <b/>
        <sz val="10"/>
        <rFont val="Arial"/>
      </rPr>
      <t xml:space="preserve">פרוסות גבינה קשה למחצה הולנד 24.5%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58.0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636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</si>
  <si>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#10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413501
</t>
    </r>
    <r>
      <rPr>
        <b/>
        <sz val="10"/>
        <rFont val="Arial"/>
      </rPr>
      <t xml:space="preserve">פרוסות גבינה קשה למחצה גאודה 28.5%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60.0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946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</si>
  <si>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#11
</t>
    </r>
    <r>
      <rPr>
        <sz val="12"/>
        <rFont val="Segoe UI Emoji"/>
      </rPr>
      <t xml:space="preserve">⭐ </t>
    </r>
    <r>
      <rPr>
        <sz val="8"/>
        <rFont val="Arial"/>
      </rPr>
      <t xml:space="preserve">
</t>
    </r>
    <r>
      <rPr>
        <sz val="8"/>
        <rFont val="Arial"/>
      </rPr>
      <t xml:space="preserve">413502
</t>
    </r>
    <r>
      <rPr>
        <b/>
        <sz val="10"/>
        <rFont val="Arial"/>
      </rPr>
      <t xml:space="preserve">פרוסות גבינה קשה למחצה טילזיטר28.5% שומן135 ג14)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44.0 קרט
</t>
    </r>
    <r>
      <rPr>
        <sz val="8"/>
        <rFont val="Arial"/>
      </rPr>
      <t xml:space="preserve">KG: 1.89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798 קרט  
</t>
    </r>
    <r>
      <rPr>
        <color rgb="FFCC0000"/>
        <sz val="7"/>
        <rFont val="Courier New"/>
      </rPr>
      <t xml:space="preserve">╚══════════════╝
</t>
    </r>
  </si>
  <si>
    <r>
      <rPr>
        <sz val="8"/>
        <rFont val="Arial"/>
      </rPr>
      <t xml:space="preserve">#12
</t>
    </r>
    <r>
      <rPr>
        <sz val="14"/>
        <rFont val="Segoe UI Emoji"/>
      </rPr>
      <t xml:space="preserve">🏅 </t>
    </r>
    <r>
      <rPr>
        <sz val="8"/>
        <rFont val="Arial"/>
      </rPr>
      <t xml:space="preserve">
</t>
    </r>
    <r>
      <rPr>
        <sz val="8"/>
        <rFont val="Arial"/>
      </rPr>
      <t xml:space="preserve">412500
</t>
    </r>
    <r>
      <rPr>
        <b/>
        <sz val="10"/>
        <rFont val="Arial"/>
      </rPr>
      <t xml:space="preserve">גבינה מותכת קרמי 18.3% שומן150 גרם12) PRESIDENT)
</t>
    </r>
    <r>
      <rPr>
        <color rgb="FFBBBBBB"/>
        <sz val="6"/>
        <rFont val="Arial"/>
      </rPr>
      <t xml:space="preserve">────────────────────
</t>
    </r>
    <r>
      <rPr>
        <b/>
        <color rgb="FF884400"/>
        <sz val="8"/>
        <rFont val="Arial"/>
      </rPr>
      <t xml:space="preserve">AVG/d: 77.0 קרט
</t>
    </r>
    <r>
      <rPr>
        <sz val="8"/>
        <rFont val="Arial"/>
      </rPr>
      <t xml:space="preserve">KG: 1.80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449 קרט  
</t>
    </r>
    <r>
      <rPr>
        <color rgb="FFCC0000"/>
        <sz val="7"/>
        <rFont val="Courier New"/>
      </rPr>
      <t xml:space="preserve">╚══════════════╝
</t>
    </r>
  </si>
  <si>
    <t>גיבוי 9 PALLETS</t>
  </si>
  <si>
    <t>624</t>
  </si>
  <si>
    <t>קפיר500 "KEFIR" ג(10)'</t>
  </si>
  <si>
    <t>SVALIA תנמש</t>
  </si>
  <si>
    <t>643</t>
  </si>
  <si>
    <t xml:space="preserve">טבורוג 350  0.5% גרם(8) (SVALYA) </t>
  </si>
  <si>
    <t>SVALIA גורובט</t>
  </si>
  <si>
    <t>644</t>
  </si>
  <si>
    <t xml:space="preserve">טבורוג 350 3% גרם(8) (SVALYA) </t>
  </si>
  <si>
    <t>628</t>
  </si>
  <si>
    <t>טבורוג250 5% ג(6) (SVALYA)'</t>
  </si>
  <si>
    <t>קפוא  ·  הזמנות/d: 1372 | מכר: 10.0 PAL/d  ·  פעיל: 38 | אפס מלאי: 16   ║   כל המחסנים: 4586 הזמנות/d</t>
  </si>
  <si>
    <r>
      <rPr>
        <sz val="8"/>
        <rFont val="Arial"/>
      </rPr>
      <t xml:space="preserve">#1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732
</t>
    </r>
    <r>
      <rPr>
        <b/>
        <sz val="10"/>
        <rFont val="Arial"/>
      </rPr>
      <t xml:space="preserve">חמאה200 FERMA 82.5% ג(20)'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219.2 קרט | 1.0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30/03/27 (323d) 2713קרט
</t>
    </r>
  </si>
  <si>
    <r>
      <rPr>
        <sz val="8"/>
        <rFont val="Arial"/>
      </rPr>
      <t xml:space="preserve">#2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800
</t>
    </r>
    <r>
      <rPr>
        <b/>
        <sz val="10"/>
        <rFont val="Arial"/>
      </rPr>
      <t xml:space="preserve">חמאה בד"צ 82.5% רושן חדש200 ג(24)'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60.4 קרט | 0.3 PAL
</t>
    </r>
    <r>
      <rPr>
        <sz val="8"/>
        <rFont val="Arial"/>
      </rPr>
      <t xml:space="preserve">KG: 4.80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17/08/27 (463d) 3133קרט
</t>
    </r>
  </si>
  <si>
    <r>
      <rPr>
        <sz val="8"/>
        <rFont val="Arial"/>
      </rPr>
      <t xml:space="preserve">#3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736
</t>
    </r>
    <r>
      <rPr>
        <b/>
        <sz val="10"/>
        <rFont val="Arial"/>
      </rPr>
      <t xml:space="preserve">ממרח מחמאה 200 גרם20) KRESTYANSKAYA)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13.1 קרט | 0.1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02/10/26 (144d) 346קרט
</t>
    </r>
    <r>
      <rPr>
        <color rgb="FF006600"/>
        <sz val="8"/>
        <rFont val="Arial"/>
      </rPr>
      <t xml:space="preserve">פק"ע 12/03/27 (305d) 960קרט
</t>
    </r>
  </si>
  <si>
    <r>
      <rPr>
        <sz val="8"/>
        <rFont val="Arial"/>
      </rPr>
      <t xml:space="preserve">#4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803
</t>
    </r>
    <r>
      <rPr>
        <b/>
        <sz val="10"/>
        <rFont val="Arial"/>
      </rPr>
      <t xml:space="preserve">ממרח מחמאה בטעם שוקולד 200 גרם20) LAKTIKA)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6.5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226קרט
</t>
    </r>
  </si>
  <si>
    <r>
      <rPr>
        <sz val="8"/>
        <rFont val="Arial"/>
      </rPr>
      <t xml:space="preserve">#5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802
</t>
    </r>
    <r>
      <rPr>
        <b/>
        <sz val="10"/>
        <rFont val="Arial"/>
      </rPr>
      <t xml:space="preserve">ממרח מחמאה 200 גרם20) LAKTIKA)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5.9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20/07/26 (70d) 290קרט
</t>
    </r>
    <r>
      <rPr>
        <color rgb="FF006600"/>
        <sz val="8"/>
        <rFont val="Arial"/>
      </rPr>
      <t xml:space="preserve">פק"ע 12/03/27 (305d) 480קרט
</t>
    </r>
  </si>
  <si>
    <r>
      <rPr>
        <sz val="8"/>
        <rFont val="Arial"/>
      </rPr>
      <t xml:space="preserve">#6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739
</t>
    </r>
    <r>
      <rPr>
        <b/>
        <sz val="10"/>
        <rFont val="Arial"/>
      </rPr>
      <t xml:space="preserve">ממרח מחמאה 200 גרם20) TULCHINKA)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7.4 קרט | 0.0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965קרט
</t>
    </r>
  </si>
  <si>
    <r>
      <rPr>
        <sz val="8"/>
        <rFont val="Arial"/>
      </rPr>
      <t xml:space="preserve">#7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740
</t>
    </r>
    <r>
      <rPr>
        <b/>
        <sz val="10"/>
        <rFont val="Arial"/>
      </rPr>
      <t xml:space="preserve">ממרח מחמאה 400 גרם20) KRESTYANSKAYA)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6.7 קרט | 0.1 PAL
</t>
    </r>
    <r>
      <rPr>
        <sz val="8"/>
        <rFont val="Arial"/>
      </rPr>
      <t xml:space="preserve">KG: 8.00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12/03/27 (305d) 737קרט
</t>
    </r>
  </si>
  <si>
    <r>
      <rPr>
        <sz val="8"/>
        <rFont val="Arial"/>
      </rPr>
      <t xml:space="preserve">#8
</t>
    </r>
    <r>
      <rPr>
        <sz val="8"/>
        <rFont val="Arial"/>
      </rPr>
      <t xml:space="preserve">1192
</t>
    </r>
    <r>
      <rPr>
        <b/>
        <sz val="10"/>
        <rFont val="Arial"/>
      </rPr>
      <t xml:space="preserve">בלינצ'ס במילוי גבינת טבורוג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34.1 קרט | 0.2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10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106קרט
</t>
    </r>
    <r>
      <rPr>
        <color rgb="FF006600"/>
        <sz val="8"/>
        <rFont val="Arial"/>
      </rPr>
      <t xml:space="preserve">פק"ע 01/03/27 (294d) 1260קרט
</t>
    </r>
  </si>
  <si>
    <r>
      <rPr>
        <sz val="8"/>
        <rFont val="Arial"/>
      </rPr>
      <t xml:space="preserve">#9
</t>
    </r>
    <r>
      <rPr>
        <sz val="8"/>
        <rFont val="Arial"/>
      </rPr>
      <t xml:space="preserve">1191
</t>
    </r>
    <r>
      <rPr>
        <b/>
        <sz val="10"/>
        <rFont val="Arial"/>
      </rPr>
      <t xml:space="preserve">בלינצ'ס) פרווה (במילוי דובדבן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23.7 קרט | 0.2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492קרט
</t>
    </r>
    <r>
      <rPr>
        <color rgb="FF006600"/>
        <sz val="8"/>
        <rFont val="Arial"/>
      </rPr>
      <t xml:space="preserve">פק"ע 01/03/27 (294d) 560קרט
</t>
    </r>
  </si>
  <si>
    <r>
      <rPr>
        <sz val="8"/>
        <rFont val="Arial"/>
      </rPr>
      <t xml:space="preserve">#10
</t>
    </r>
    <r>
      <rPr>
        <sz val="8"/>
        <rFont val="Arial"/>
      </rPr>
      <t xml:space="preserve">1190
</t>
    </r>
    <r>
      <rPr>
        <b/>
        <sz val="10"/>
        <rFont val="Arial"/>
      </rPr>
      <t xml:space="preserve">בלינצ'ס) פרווה (במילוי תפו"א ופטריות מוקפא420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14.8 קרט | 0.1 PAL
</t>
    </r>
    <r>
      <rPr>
        <sz val="8"/>
        <rFont val="Arial"/>
      </rPr>
      <t xml:space="preserve">KG: 2.52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6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30קרט
</t>
    </r>
    <r>
      <rPr>
        <color rgb="FF006600"/>
        <sz val="8"/>
        <rFont val="Arial"/>
      </rPr>
      <t xml:space="preserve">פק"ע 02/02/27 (267d) 560קרט
</t>
    </r>
    <r>
      <rPr>
        <color rgb="FF006600"/>
        <sz val="8"/>
        <rFont val="Arial"/>
      </rPr>
      <t xml:space="preserve">פק"ע 01/03/27 (294d) 285קרט
</t>
    </r>
  </si>
  <si>
    <r>
      <rPr>
        <sz val="8"/>
        <rFont val="Arial"/>
      </rPr>
      <t xml:space="preserve">#11
</t>
    </r>
    <r>
      <rPr>
        <sz val="8"/>
        <rFont val="Arial"/>
      </rPr>
      <t xml:space="preserve">1193
</t>
    </r>
    <r>
      <rPr>
        <b/>
        <sz val="10"/>
        <rFont val="Arial"/>
      </rPr>
      <t xml:space="preserve">בלינצ'ס) פרווה (במילוי תפו"ע וקינמון מוקפא360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13.8 קרט | 0.1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50קרט
</t>
    </r>
    <r>
      <rPr>
        <color rgb="FF006600"/>
        <sz val="8"/>
        <rFont val="Arial"/>
      </rPr>
      <t xml:space="preserve">פק"ע 02/02/27 (267d) 140קרט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</si>
  <si>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#12
</t>
    </r>
    <r>
      <rPr>
        <sz val="8"/>
        <rFont val="Arial"/>
      </rPr>
      <t xml:space="preserve">1198
</t>
    </r>
    <r>
      <rPr>
        <b/>
        <sz val="10"/>
        <rFont val="Arial"/>
      </rPr>
      <t xml:space="preserve">בלינצ'ס) פרווה (במילוי ממרח קקאו-אגוזי לוז מוקפא360 ג(6)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14.3 קרט | 0.1 PAL
</t>
    </r>
    <r>
      <rPr>
        <sz val="8"/>
        <rFont val="Arial"/>
      </rPr>
      <t xml:space="preserve">KG: 2.16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293קרט
</t>
    </r>
  </si>
  <si>
    <r>
      <rPr>
        <sz val="8"/>
        <rFont val="Arial"/>
      </rPr>
      <t xml:space="preserve">#13
</t>
    </r>
    <r>
      <rPr>
        <sz val="8"/>
        <rFont val="Arial"/>
      </rPr>
      <t xml:space="preserve">1182
</t>
    </r>
    <r>
      <rPr>
        <b/>
        <sz val="10"/>
        <rFont val="Arial"/>
      </rPr>
      <t xml:space="preserve">כיסונים במילוי דובדבנים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17.9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98קרט
</t>
    </r>
    <r>
      <rPr>
        <color rgb="FF006600"/>
        <sz val="8"/>
        <rFont val="Arial"/>
      </rPr>
      <t xml:space="preserve">פק"ע 01/03/27 (294d) 280קרט
</t>
    </r>
  </si>
  <si>
    <r>
      <rPr>
        <sz val="8"/>
        <rFont val="Arial"/>
      </rPr>
      <t xml:space="preserve">#14
</t>
    </r>
    <r>
      <rPr>
        <sz val="8"/>
        <rFont val="Arial"/>
      </rPr>
      <t xml:space="preserve">1185
</t>
    </r>
    <r>
      <rPr>
        <b/>
        <sz val="10"/>
        <rFont val="Arial"/>
      </rPr>
      <t xml:space="preserve">כיסונים" פרווה "במילוי תפו"א ובצל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15.0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84קרט
</t>
    </r>
    <r>
      <rPr>
        <color rgb="FF006600"/>
        <sz val="8"/>
        <rFont val="Arial"/>
      </rPr>
      <t xml:space="preserve">פק"ע 02/02/27 (267d) 420קרט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</si>
  <si>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#15
</t>
    </r>
    <r>
      <rPr>
        <sz val="8"/>
        <rFont val="Arial"/>
      </rPr>
      <t xml:space="preserve">1187
</t>
    </r>
    <r>
      <rPr>
        <b/>
        <sz val="10"/>
        <rFont val="Arial"/>
      </rPr>
      <t xml:space="preserve">כיסונים במילוי גבינת טבורוג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14.0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54קרט
</t>
    </r>
    <r>
      <rPr>
        <color rgb="FF006600"/>
        <sz val="8"/>
        <rFont val="Arial"/>
      </rPr>
      <t xml:space="preserve">פק"ע 02/02/27 (267d) 180קרט
</t>
    </r>
    <r>
      <rPr>
        <color rgb="FF006600"/>
        <sz val="8"/>
        <rFont val="Arial"/>
      </rPr>
      <t xml:space="preserve">פק"ע 01/03/27 (294d) 420קרט
</t>
    </r>
  </si>
  <si>
    <r>
      <rPr>
        <sz val="8"/>
        <rFont val="Arial"/>
      </rPr>
      <t xml:space="preserve">#16
</t>
    </r>
    <r>
      <rPr>
        <sz val="8"/>
        <rFont val="Arial"/>
      </rPr>
      <t xml:space="preserve">1180
</t>
    </r>
    <r>
      <rPr>
        <b/>
        <sz val="10"/>
        <rFont val="Arial"/>
      </rPr>
      <t xml:space="preserve">לביבות גבינת טבורוג מוקפאות450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145קרט
</t>
    </r>
    <r>
      <rPr>
        <color rgb="FF006600"/>
        <sz val="8"/>
        <rFont val="Arial"/>
      </rPr>
      <t xml:space="preserve">פק"ע 01/03/27 (294d) 180קרט
</t>
    </r>
  </si>
  <si>
    <r>
      <rPr>
        <sz val="8"/>
        <rFont val="Arial"/>
      </rPr>
      <t xml:space="preserve">#17
</t>
    </r>
    <r>
      <rPr>
        <sz val="8"/>
        <rFont val="Arial"/>
      </rPr>
      <t xml:space="preserve">1184
</t>
    </r>
    <r>
      <rPr>
        <b/>
        <sz val="10"/>
        <rFont val="Arial"/>
      </rPr>
      <t xml:space="preserve">כיסונים" פרווה "במילוי תפו"א ופטריות מוקפאים450 ג(6)'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11.9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103קרט
</t>
    </r>
    <r>
      <rPr>
        <color rgb="FF006600"/>
        <sz val="8"/>
        <rFont val="Arial"/>
      </rPr>
      <t xml:space="preserve">פק"ע 02/02/27 (267d) 560קרט
</t>
    </r>
  </si>
  <si>
    <r>
      <rPr>
        <sz val="8"/>
        <rFont val="Arial"/>
      </rPr>
      <t xml:space="preserve">#18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1196
</t>
    </r>
    <r>
      <rPr>
        <b/>
        <sz val="10"/>
        <rFont val="Arial"/>
      </rPr>
      <t xml:space="preserve">בצק עלים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17.3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457קרט
</t>
    </r>
    <r>
      <rPr>
        <color rgb="FF006600"/>
        <sz val="8"/>
        <rFont val="Arial"/>
      </rPr>
      <t xml:space="preserve">פק"ע 01/03/27 (294d) 432קרט
</t>
    </r>
  </si>
  <si>
    <r>
      <rPr>
        <sz val="8"/>
        <rFont val="Arial"/>
      </rPr>
      <t xml:space="preserve">#19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1195
</t>
    </r>
    <r>
      <rPr>
        <b/>
        <sz val="10"/>
        <rFont val="Arial"/>
      </rPr>
      <t xml:space="preserve">בצק שמרים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15.2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4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477קרט
</t>
    </r>
    <r>
      <rPr>
        <color rgb="FF006600"/>
        <sz val="8"/>
        <rFont val="Arial"/>
      </rPr>
      <t xml:space="preserve">פק"ע 01/03/27 (294d) 432קרט
</t>
    </r>
  </si>
  <si>
    <r>
      <rPr>
        <sz val="8"/>
        <rFont val="Arial"/>
      </rPr>
      <t xml:space="preserve">#20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1197
</t>
    </r>
    <r>
      <rPr>
        <b/>
        <sz val="10"/>
        <rFont val="Arial"/>
      </rPr>
      <t xml:space="preserve">בצק שמרים עלים מרודד מוקפא450 ג(7)'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14.5 קרט | 0.1 PAL
</t>
    </r>
    <r>
      <rPr>
        <sz val="8"/>
        <rFont val="Arial"/>
      </rPr>
      <t xml:space="preserve">KG: 3.15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498קרט
</t>
    </r>
    <r>
      <rPr>
        <color rgb="FF006600"/>
        <sz val="8"/>
        <rFont val="Arial"/>
      </rPr>
      <t xml:space="preserve">פק"ע 01/03/27 (294d) 216קרט
</t>
    </r>
  </si>
  <si>
    <r>
      <rPr>
        <sz val="8"/>
        <rFont val="Arial"/>
      </rPr>
      <t xml:space="preserve">#21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1194
</t>
    </r>
    <r>
      <rPr>
        <b/>
        <sz val="10"/>
        <rFont val="Arial"/>
      </rPr>
      <t xml:space="preserve">עלי בלינצ'ס מוקפאים320 ג(10)'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14.7 קרט | 0.1 PAL
</t>
    </r>
    <r>
      <rPr>
        <sz val="8"/>
        <rFont val="Arial"/>
      </rPr>
      <t xml:space="preserve">KG: 3.20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09/11/26 (182d) 80קרט
</t>
    </r>
    <r>
      <rPr>
        <color rgb="FF006600"/>
        <sz val="8"/>
        <rFont val="Arial"/>
      </rPr>
      <t xml:space="preserve">פק"ע 07/12/26 (210d) 840קרט
</t>
    </r>
  </si>
  <si>
    <r>
      <rPr>
        <sz val="8"/>
        <rFont val="Arial"/>
      </rPr>
      <t xml:space="preserve">#35
</t>
    </r>
    <r>
      <rPr>
        <sz val="8"/>
        <rFont val="Arial"/>
      </rPr>
      <t xml:space="preserve">817
</t>
    </r>
    <r>
      <rPr>
        <b/>
        <sz val="10"/>
        <rFont val="Arial"/>
      </rPr>
      <t xml:space="preserve">חטיף גבינה בטעם שוקולד45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69.8 קרט | 0.9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2013קרט
</t>
    </r>
  </si>
  <si>
    <r>
      <rPr>
        <sz val="8"/>
        <rFont val="Arial"/>
      </rPr>
      <t xml:space="preserve">#34
</t>
    </r>
    <r>
      <rPr>
        <sz val="8"/>
        <rFont val="Arial"/>
      </rPr>
      <t xml:space="preserve">816
</t>
    </r>
    <r>
      <rPr>
        <b/>
        <sz val="10"/>
        <rFont val="Arial"/>
      </rPr>
      <t xml:space="preserve">חטיף גבינה תות שדה45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68.8 קרט | 0.8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25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2058קרט
</t>
    </r>
  </si>
  <si>
    <r>
      <rPr>
        <sz val="8"/>
        <rFont val="Arial"/>
      </rPr>
      <t xml:space="preserve">#33
</t>
    </r>
    <r>
      <rPr>
        <sz val="8"/>
        <rFont val="Arial"/>
      </rPr>
      <t xml:space="preserve">815
</t>
    </r>
    <r>
      <rPr>
        <b/>
        <sz val="10"/>
        <rFont val="Arial"/>
      </rPr>
      <t xml:space="preserve">חטיף גבינה עם ריבת חלב45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85.0 קרט | 1.0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01/03/27 (294d) 2697קרט
</t>
    </r>
  </si>
  <si>
    <r>
      <rPr>
        <sz val="8"/>
        <rFont val="Arial"/>
      </rPr>
      <t xml:space="preserve">#32
</t>
    </r>
    <r>
      <rPr>
        <sz val="8"/>
        <rFont val="Arial"/>
      </rPr>
      <t xml:space="preserve">818
</t>
    </r>
    <r>
      <rPr>
        <b/>
        <sz val="10"/>
        <rFont val="Arial"/>
      </rPr>
      <t xml:space="preserve">חטיף גבינה וניל45 ג(18)'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144.6 קרט | 1.8 PAL
</t>
    </r>
    <r>
      <rPr>
        <sz val="8"/>
        <rFont val="Arial"/>
      </rPr>
      <t xml:space="preserve">KG: 0.81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15/01/27 (249d) 908קרט
</t>
    </r>
    <r>
      <rPr>
        <color rgb="FF006600"/>
        <sz val="8"/>
        <rFont val="Arial"/>
      </rPr>
      <t xml:space="preserve">פק"ע 01/03/27 (294d) 5184קרט
</t>
    </r>
  </si>
  <si>
    <r>
      <rPr>
        <sz val="8"/>
        <rFont val="Arial"/>
      </rPr>
      <t xml:space="preserve">#31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420002
</t>
    </r>
    <r>
      <rPr>
        <b/>
        <sz val="10"/>
        <rFont val="Arial"/>
      </rPr>
      <t xml:space="preserve">עוגת MEDOVIK שכבות בצק דבש וקרם וניל1 ק"ג(4)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8.0 קרט | 0.1 PAL
</t>
    </r>
    <r>
      <rPr>
        <sz val="8"/>
        <rFont val="Arial"/>
      </rPr>
      <t xml:space="preserve">KG: 4.00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08/12/27 (576d) 190קרט
</t>
    </r>
  </si>
  <si>
    <r>
      <rPr>
        <sz val="8"/>
        <rFont val="Arial"/>
      </rPr>
      <t xml:space="preserve">#30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420001
</t>
    </r>
    <r>
      <rPr>
        <b/>
        <sz val="10"/>
        <rFont val="Arial"/>
      </rPr>
      <t xml:space="preserve">עוגת NAPOLEON שכבות בצק עלים וקרם וניל1 ק"ג(4)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10.4 קרט | 0.1 PAL
</t>
    </r>
    <r>
      <rPr>
        <sz val="8"/>
        <rFont val="Arial"/>
      </rPr>
      <t xml:space="preserve">KG: 4.00
</t>
    </r>
    <r>
      <rPr>
        <color rgb="FFCC0000"/>
        <sz val="7"/>
        <rFont val="Courier New"/>
      </rPr>
      <t xml:space="preserve">╔══════════════╗
</t>
    </r>
    <r>
      <rPr>
        <b/>
        <color rgb="FFCC0000"/>
        <sz val="10"/>
        <rFont val="Arial"/>
      </rPr>
      <t xml:space="preserve">  מלאי: 0 PAL  
</t>
    </r>
    <r>
      <rPr>
        <color rgb="FFCC0000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07/12/27 (575d) 13קרט
</t>
    </r>
  </si>
  <si>
    <r>
      <rPr>
        <sz val="8"/>
        <rFont val="Arial"/>
      </rPr>
      <t xml:space="preserve">#29
</t>
    </r>
    <r>
      <rPr>
        <sz val="8"/>
        <rFont val="Arial"/>
      </rPr>
      <t xml:space="preserve">420006
</t>
    </r>
    <r>
      <rPr>
        <b/>
        <sz val="10"/>
        <rFont val="Arial"/>
      </rPr>
      <t xml:space="preserve">עוגת גריליאז) 'רושן0.45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3.5 קרט | 0.1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03/12/26 (206d) 39קרט
</t>
    </r>
    <r>
      <rPr>
        <color rgb="FF006600"/>
        <sz val="8"/>
        <rFont val="Arial"/>
      </rPr>
      <t xml:space="preserve">פק"ע 11/12/26 (214d) 140קרט
</t>
    </r>
    <r>
      <rPr>
        <color rgb="FF006600"/>
        <sz val="8"/>
        <rFont val="Arial"/>
      </rPr>
      <t xml:space="preserve">פק"ע 27/01/27 (261d) 320קרט
</t>
    </r>
  </si>
  <si>
    <r>
      <rPr>
        <sz val="8"/>
        <rFont val="Arial"/>
      </rPr>
      <t xml:space="preserve">#28
</t>
    </r>
    <r>
      <rPr>
        <sz val="8"/>
        <rFont val="Arial"/>
      </rPr>
      <t xml:space="preserve">420005
</t>
    </r>
    <r>
      <rPr>
        <b/>
        <sz val="10"/>
        <rFont val="Arial"/>
      </rPr>
      <t xml:space="preserve">עוגת קייבסקי) רושן0.45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12.2 קרט | 0.2 PAL
</t>
    </r>
    <r>
      <rPr>
        <sz val="8"/>
        <rFont val="Arial"/>
      </rPr>
      <t xml:space="preserve">KG: 2.70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39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18/11/26 (191d) 98קרט
</t>
    </r>
    <r>
      <rPr>
        <color rgb="FF006600"/>
        <sz val="8"/>
        <rFont val="Arial"/>
      </rPr>
      <t xml:space="preserve">פק"ע 02/12/26 (205d) 1180קרט
</t>
    </r>
    <r>
      <rPr>
        <color rgb="FF006600"/>
        <sz val="8"/>
        <rFont val="Arial"/>
      </rPr>
      <t xml:space="preserve">פק"ע 11/12/26 (214d) 1090קרט
</t>
    </r>
  </si>
  <si>
    <r>
      <rPr>
        <sz val="8"/>
        <rFont val="Arial"/>
      </rPr>
      <t xml:space="preserve">#27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420007
</t>
    </r>
    <r>
      <rPr>
        <b/>
        <sz val="10"/>
        <rFont val="Arial"/>
      </rPr>
      <t xml:space="preserve">עוגת זולוטוי קלוצ'יק) רושן0.5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2.6 קרט | 0.0 PAL
</t>
    </r>
    <r>
      <rPr>
        <sz val="8"/>
        <rFont val="Arial"/>
      </rPr>
      <t xml:space="preserve">KG: 3.00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8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19/11/26 (192d) 10קרט
</t>
    </r>
    <r>
      <rPr>
        <color rgb="FF006600"/>
        <sz val="8"/>
        <rFont val="Arial"/>
      </rPr>
      <t xml:space="preserve">פק"ע 02/12/26 (205d) 130קרט
</t>
    </r>
    <r>
      <rPr>
        <color rgb="FF006600"/>
        <sz val="8"/>
        <rFont val="Arial"/>
      </rPr>
      <t xml:space="preserve">פק"ע 11/12/26 (214d) 140קרט
</t>
    </r>
    <r>
      <rPr>
        <color rgb="FF006600"/>
        <sz val="8"/>
        <rFont val="Arial"/>
      </rPr>
      <t xml:space="preserve">פק"ע 28/01/27 (262d) 200קרט
</t>
    </r>
  </si>
  <si>
    <r>
      <rPr>
        <sz val="8"/>
        <rFont val="Arial"/>
      </rPr>
      <t xml:space="preserve">#26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420008
</t>
    </r>
    <r>
      <rPr>
        <b/>
        <sz val="10"/>
        <rFont val="Arial"/>
      </rPr>
      <t xml:space="preserve">עוגת טרופל) רושן0.52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3.0 קרט | 0.0 PAL
</t>
    </r>
    <r>
      <rPr>
        <sz val="8"/>
        <rFont val="Arial"/>
      </rPr>
      <t xml:space="preserve">KG: 3.12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7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02/12/26 (205d) 16קרט
</t>
    </r>
    <r>
      <rPr>
        <color rgb="FF006600"/>
        <sz val="8"/>
        <rFont val="Arial"/>
      </rPr>
      <t xml:space="preserve">פק"ע 11/12/26 (214d) 110קרט
</t>
    </r>
    <r>
      <rPr>
        <color rgb="FF006600"/>
        <sz val="8"/>
        <rFont val="Arial"/>
      </rPr>
      <t xml:space="preserve">פק"ע 28/01/27 (262d) 320קרט
</t>
    </r>
  </si>
  <si>
    <r>
      <rPr>
        <sz val="8"/>
        <rFont val="Arial"/>
      </rPr>
      <t xml:space="preserve">#25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420003
</t>
    </r>
    <r>
      <rPr>
        <b/>
        <sz val="10"/>
        <rFont val="Arial"/>
      </rPr>
      <t xml:space="preserve">עוגת פראג) רושן0.85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2.4 קרט | 0.1 PAL
</t>
    </r>
    <r>
      <rPr>
        <sz val="8"/>
        <rFont val="Arial"/>
      </rPr>
      <t xml:space="preserve">KG: 5.10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27/01/27 (261d) 100קרט
</t>
    </r>
  </si>
  <si>
    <r>
      <rPr>
        <sz val="8"/>
        <rFont val="Arial"/>
      </rPr>
      <t xml:space="preserve">#24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420004
</t>
    </r>
    <r>
      <rPr>
        <b/>
        <sz val="10"/>
        <rFont val="Arial"/>
      </rPr>
      <t xml:space="preserve">עוגת קייבסקי) רושן0.85 (ק"ג(6) 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6.7 קרט | 0.2 PAL
</t>
    </r>
    <r>
      <rPr>
        <sz val="8"/>
        <rFont val="Arial"/>
      </rPr>
      <t xml:space="preserve">KG: 5.10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27/01/27 (261d) 182קרט
</t>
    </r>
  </si>
  <si>
    <r>
      <rPr>
        <sz val="8"/>
        <rFont val="Arial"/>
      </rPr>
      <t xml:space="preserve">#23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1046
</t>
    </r>
    <r>
      <rPr>
        <b/>
        <sz val="10"/>
        <rFont val="Arial"/>
      </rPr>
      <t xml:space="preserve">נתחי סורימי בטעם סרטן קפוא200 ג(30)'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9.1 קרט | 0.1 PAL
</t>
    </r>
    <r>
      <rPr>
        <sz val="8"/>
        <rFont val="Arial"/>
      </rPr>
      <t xml:space="preserve">KG: 6.00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12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18/04/27 (342d) 295קרט
</t>
    </r>
    <r>
      <rPr>
        <color rgb="FF006600"/>
        <sz val="8"/>
        <rFont val="Arial"/>
      </rPr>
      <t xml:space="preserve">פק"ע 02/08/27 (448d) 810קרט
</t>
    </r>
  </si>
  <si>
    <r>
      <rPr>
        <sz val="8"/>
        <rFont val="Arial"/>
      </rPr>
      <t xml:space="preserve">#22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1045
</t>
    </r>
    <r>
      <rPr>
        <b/>
        <sz val="10"/>
        <rFont val="Arial"/>
      </rPr>
      <t xml:space="preserve">מקלות סורימי בטעם סרטן קפוא200 ג(30)'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15.3 קרט | 0.1 PAL
</t>
    </r>
    <r>
      <rPr>
        <sz val="8"/>
        <rFont val="Arial"/>
      </rPr>
      <t xml:space="preserve">KG: 6.00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9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01/08/27 (447d) 1000קרט
</t>
    </r>
  </si>
  <si>
    <r>
      <rPr>
        <sz val="8"/>
        <rFont val="Arial"/>
      </rPr>
      <t xml:space="preserve">#52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1208
</t>
    </r>
    <r>
      <rPr>
        <b/>
        <sz val="10"/>
        <rFont val="Arial"/>
      </rPr>
      <t xml:space="preserve">בלינצ'ס) פרווה (במילוי דובדבן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5.3 קרט | 0.1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07/12/26 (210d) 115קרט
</t>
    </r>
    <r>
      <rPr>
        <color rgb="FF006600"/>
        <sz val="8"/>
        <rFont val="Arial"/>
      </rPr>
      <t xml:space="preserve">פק"ע 01/03/27 (294d) 126קרט
</t>
    </r>
  </si>
  <si>
    <r>
      <rPr>
        <sz val="8"/>
        <rFont val="Arial"/>
      </rPr>
      <t xml:space="preserve">#51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1209
</t>
    </r>
    <r>
      <rPr>
        <b/>
        <sz val="10"/>
        <rFont val="Arial"/>
      </rPr>
      <t xml:space="preserve">בלינצ'ס במילוי גבינת טבורוג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16.0 קרט | 0.2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5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18/01/27 (252d) 23קרט
</t>
    </r>
    <r>
      <rPr>
        <color rgb="FF006600"/>
        <sz val="8"/>
        <rFont val="Arial"/>
      </rPr>
      <t xml:space="preserve">פק"ע 02/02/27 (267d) 120קרט
</t>
    </r>
    <r>
      <rPr>
        <color rgb="FF006600"/>
        <sz val="8"/>
        <rFont val="Arial"/>
      </rPr>
      <t xml:space="preserve">פק"ע 01/03/27 (294d) 180קרט
</t>
    </r>
  </si>
  <si>
    <r>
      <rPr>
        <sz val="8"/>
        <rFont val="Arial"/>
      </rPr>
      <t xml:space="preserve">#50
</t>
    </r>
    <r>
      <rPr>
        <sz val="12"/>
        <rFont val="Segoe UI Emoji"/>
      </rPr>
      <t xml:space="preserve">🏋️ </t>
    </r>
    <r>
      <rPr>
        <sz val="8"/>
        <rFont val="Arial"/>
      </rPr>
      <t xml:space="preserve">
</t>
    </r>
    <r>
      <rPr>
        <sz val="8"/>
        <rFont val="Arial"/>
      </rPr>
      <t xml:space="preserve">1211
</t>
    </r>
    <r>
      <rPr>
        <b/>
        <sz val="10"/>
        <rFont val="Arial"/>
      </rPr>
      <t xml:space="preserve">בלינצ'ס) פרווה (במילוי ממרח קקאו-אגוזי לוז מוקפא7 ק"ג
</t>
    </r>
    <r>
      <rPr>
        <color rgb="FFBBBBBB"/>
        <sz val="6"/>
        <rFont val="Arial"/>
      </rPr>
      <t xml:space="preserve">────────────────────
</t>
    </r>
    <r>
      <rPr>
        <b/>
        <sz val="8"/>
        <rFont val="Arial"/>
      </rPr>
      <t xml:space="preserve">AVG/d: 44.0 קרט | 0.6 PAL
</t>
    </r>
    <r>
      <rPr>
        <sz val="8"/>
        <rFont val="Arial"/>
      </rPr>
      <t xml:space="preserve">KG: 7.00
</t>
    </r>
    <r>
      <rPr>
        <color rgb="FF003399"/>
        <sz val="7"/>
        <rFont val="Courier New"/>
      </rPr>
      <t xml:space="preserve">╔══════════════╗
</t>
    </r>
    <r>
      <rPr>
        <b/>
        <color rgb="FF003399"/>
        <sz val="10"/>
        <rFont val="Arial"/>
      </rPr>
      <t xml:space="preserve">  מלאי: 3 PAL  
</t>
    </r>
    <r>
      <rPr>
        <color rgb="FF003399"/>
        <sz val="7"/>
        <rFont val="Courier New"/>
      </rPr>
      <t xml:space="preserve">╚══════════════╝
</t>
    </r>
    <r>
      <rPr>
        <color rgb="FF006600"/>
        <sz val="8"/>
        <rFont val="Arial"/>
      </rPr>
      <t xml:space="preserve">פק"ע 02/02/27 (267d) 64קרט
</t>
    </r>
    <r>
      <rPr>
        <color rgb="FF006600"/>
        <sz val="8"/>
        <rFont val="Arial"/>
      </rPr>
      <t xml:space="preserve">פק"ע 01/03/27 (294d) 144קרט
</t>
    </r>
  </si>
  <si>
    <t>604</t>
  </si>
  <si>
    <t>חמאה200 ROSHEN 82.5% ג(24)'</t>
  </si>
  <si>
    <t>חמאה רושן</t>
  </si>
  <si>
    <t>1030</t>
  </si>
  <si>
    <t>פילה דג סלמון מעושן פרוס קפוא100 ג(10)'</t>
  </si>
  <si>
    <t>SANTA BREMOR</t>
  </si>
  <si>
    <t>1031</t>
  </si>
  <si>
    <t>פילה דג סלמון מלוח פרוס קפוא100 ג(10)'</t>
  </si>
  <si>
    <t>1034</t>
  </si>
  <si>
    <t>פילה דג סלמון מעושן קפוא200 ג(6)'</t>
  </si>
  <si>
    <t>1036</t>
  </si>
  <si>
    <t>פילה דג פורל מעושן קפוא200 ג(6)'</t>
  </si>
  <si>
    <t>1035</t>
  </si>
  <si>
    <t>פילה דג סלמון מלוח קפוא200 ג(6)'</t>
  </si>
  <si>
    <t>1033</t>
  </si>
  <si>
    <t>פילה דג פורל מלוח פרוס קפוא100 ג(10)'</t>
  </si>
  <si>
    <t>1032</t>
  </si>
  <si>
    <t>פילה דג פורל מעושן פרוס קפוא100 ג(10)'</t>
  </si>
  <si>
    <t>1037</t>
  </si>
  <si>
    <t>פילה דג פורל מלוח קפוא200 ג(6)'</t>
  </si>
  <si>
    <t>1051</t>
  </si>
  <si>
    <t>סורימי בטעם סרטן קפוא150 (SNOW CRAB) ג(30)'</t>
  </si>
  <si>
    <t>SANTA BREMOR דגים</t>
  </si>
  <si>
    <t>1213</t>
  </si>
  <si>
    <t xml:space="preserve">פירושקי עם תפו"א360 גרםVALESTO(11) </t>
  </si>
  <si>
    <t>VALESTA</t>
  </si>
  <si>
    <t>1214</t>
  </si>
  <si>
    <t xml:space="preserve">פירושקי עם כרוב360 גרםVALESTO(11) </t>
  </si>
  <si>
    <t>1215</t>
  </si>
  <si>
    <t xml:space="preserve">פירושקי במילוי גבינה360 גרםVALESTO(11) </t>
  </si>
  <si>
    <t>1216</t>
  </si>
  <si>
    <t xml:space="preserve">פירושקי עם פרג360 גרםVALESTO(11) </t>
  </si>
  <si>
    <t>1217</t>
  </si>
  <si>
    <t xml:space="preserve">פירושקי עם דובדבנים360 גרםVALESTO(11) </t>
  </si>
  <si>
    <t>1218</t>
  </si>
  <si>
    <t xml:space="preserve">פירושקי עם תפוחי עץ360 גרםVALESTO(11) </t>
  </si>
  <si>
    <t>#</t>
  </si>
  <si>
    <t>KG</t>
  </si>
  <si>
    <t>732</t>
  </si>
  <si>
    <t>חמאה200 FERMA 82.5% ג(20)'</t>
  </si>
  <si>
    <t>חמאה FERMA</t>
  </si>
  <si>
    <t>4.00</t>
  </si>
  <si>
    <t/>
  </si>
  <si>
    <t>800</t>
  </si>
  <si>
    <t>חמאה בד"צ 82.5% רושן חדש200 ג(24)'</t>
  </si>
  <si>
    <t>4.80</t>
  </si>
  <si>
    <t>736</t>
  </si>
  <si>
    <t xml:space="preserve">ממרח מחמאה 200 גרם20) KRESTYANSKAYA) </t>
  </si>
  <si>
    <t>ממרחי חמאה</t>
  </si>
  <si>
    <t>803</t>
  </si>
  <si>
    <t xml:space="preserve">ממרח מחמאה בטעם שוקולד 200 גרם20) LAKTIKA) </t>
  </si>
  <si>
    <t>802</t>
  </si>
  <si>
    <t xml:space="preserve">ממרח מחמאה 200 גרם20) LAKTIKA) </t>
  </si>
  <si>
    <t>739</t>
  </si>
  <si>
    <t xml:space="preserve">ממרח מחמאה 200 גרם20) TULCHINKA) </t>
  </si>
  <si>
    <t>740</t>
  </si>
  <si>
    <t xml:space="preserve">ממרח מחמאה 400 גרם20) KRESTYANSKAYA) </t>
  </si>
  <si>
    <t>8.00</t>
  </si>
  <si>
    <t>1192</t>
  </si>
  <si>
    <t>בלינצ'ס במילוי גבינת טבורוג מוקפא360 ג(6)'</t>
  </si>
  <si>
    <t>בלינצס</t>
  </si>
  <si>
    <t>2.16</t>
  </si>
  <si>
    <t>1191</t>
  </si>
  <si>
    <t>בלינצ'ס) פרווה (במילוי דובדבן מוקפא360 ג(6)'</t>
  </si>
  <si>
    <t>1190</t>
  </si>
  <si>
    <t>בלינצ'ס) פרווה (במילוי תפו"א ופטריות מוקפא420 ג(6)'</t>
  </si>
  <si>
    <t>2.52</t>
  </si>
  <si>
    <t>1193</t>
  </si>
  <si>
    <t>בלינצ'ס) פרווה (במילוי תפו"ע וקינמון מוקפא360 ג(6)'</t>
  </si>
  <si>
    <t>1198</t>
  </si>
  <si>
    <t>בלינצ'ס) פרווה (במילוי ממרח קקאו-אגוזי לוז מוקפא360 ג(6)</t>
  </si>
  <si>
    <t>1182</t>
  </si>
  <si>
    <t>כיסונים במילוי דובדבנים מוקפאים450 ג(6)'</t>
  </si>
  <si>
    <t>כיסונים</t>
  </si>
  <si>
    <t>2.70</t>
  </si>
  <si>
    <t>1185</t>
  </si>
  <si>
    <t>כיסונים" פרווה "במילוי תפו"א ובצל מוקפאים450 ג(6)'</t>
  </si>
  <si>
    <t>1187</t>
  </si>
  <si>
    <t>כיסונים במילוי גבינת טבורוג מוקפאים450 ג(6)'</t>
  </si>
  <si>
    <t>1180</t>
  </si>
  <si>
    <t>לביבות גבינת טבורוג מוקפאות450 ג(6)'</t>
  </si>
  <si>
    <t>1184</t>
  </si>
  <si>
    <t>כיסונים" פרווה "במילוי תפו"א ופטריות מוקפאים450 ג(6)'</t>
  </si>
  <si>
    <t>1196</t>
  </si>
  <si>
    <t>בצק עלים מרודד מוקפא450 ג(7)'</t>
  </si>
  <si>
    <t>בצק</t>
  </si>
  <si>
    <t>3.15</t>
  </si>
  <si>
    <t>1195</t>
  </si>
  <si>
    <t>בצק שמרים מרודד מוקפא450 ג(7)'</t>
  </si>
  <si>
    <t>1197</t>
  </si>
  <si>
    <t>בצק שמרים עלים מרודד מוקפא450 ג(7)'</t>
  </si>
  <si>
    <t>1194</t>
  </si>
  <si>
    <t>עלי בלינצ'ס מוקפאים320 ג(10)'</t>
  </si>
  <si>
    <t>עלי בלינצס</t>
  </si>
  <si>
    <t>3.20</t>
  </si>
  <si>
    <t>1045</t>
  </si>
  <si>
    <t>מקלות סורימי בטעם סרטן קפוא200 ג(30)'</t>
  </si>
  <si>
    <t>6.00</t>
  </si>
  <si>
    <t>1046</t>
  </si>
  <si>
    <t>נתחי סורימי בטעם סרטן קפוא200 ג(30)'</t>
  </si>
  <si>
    <t>1.00</t>
  </si>
  <si>
    <t>1.20</t>
  </si>
  <si>
    <t>420004</t>
  </si>
  <si>
    <t xml:space="preserve">עוגת קייבסקי) רושן0.85 (ק"ג(6) </t>
  </si>
  <si>
    <t>עוגות רושן</t>
  </si>
  <si>
    <t>5.10</t>
  </si>
  <si>
    <t>420003</t>
  </si>
  <si>
    <t xml:space="preserve">עוגת פראג) רושן0.85 (ק"ג(6) </t>
  </si>
  <si>
    <t>420008</t>
  </si>
  <si>
    <t xml:space="preserve">עוגת טרופל) רושן0.52 (ק"ג(6) </t>
  </si>
  <si>
    <t>3.12</t>
  </si>
  <si>
    <t>420007</t>
  </si>
  <si>
    <t xml:space="preserve">עוגת זולוטוי קלוצ'יק) רושן0.5 (ק"ג(6) </t>
  </si>
  <si>
    <t>3.00</t>
  </si>
  <si>
    <t>420005</t>
  </si>
  <si>
    <t xml:space="preserve">עוגת קייבסקי) רושן0.45 (ק"ג(6) </t>
  </si>
  <si>
    <t>420006</t>
  </si>
  <si>
    <t xml:space="preserve">עוגת גריליאז) 'רושן0.45 (ק"ג(6) </t>
  </si>
  <si>
    <t>420001</t>
  </si>
  <si>
    <t>עוגת NAPOLEON שכבות בצק עלים וקרם וניל1 ק"ג(4)</t>
  </si>
  <si>
    <t>עוגות מוזיקה</t>
  </si>
  <si>
    <t>420002</t>
  </si>
  <si>
    <t>עוגת MEDOVIK שכבות בצק דבש וקרם וניל1 ק"ג(4)</t>
  </si>
  <si>
    <t>818</t>
  </si>
  <si>
    <t>חטיף גבינה וניל45 ג(18)'</t>
  </si>
  <si>
    <t>חטיף גבינה</t>
  </si>
  <si>
    <t>0.81</t>
  </si>
  <si>
    <t>815</t>
  </si>
  <si>
    <t>חטיף גבינה עם ריבת חלב45 ג(18)'</t>
  </si>
  <si>
    <t>816</t>
  </si>
  <si>
    <t>חטיף גבינה תות שדה45 ג(18)'</t>
  </si>
  <si>
    <t>817</t>
  </si>
  <si>
    <t>חטיף גבינה בטעם שוקולד45 ג(18)'</t>
  </si>
  <si>
    <t>4.50</t>
  </si>
  <si>
    <t>—</t>
  </si>
  <si>
    <t>1211</t>
  </si>
  <si>
    <t>בלינצ'ס) פרווה (במילוי ממרח קקאו-אגוזי לוז מוקפא7 ק"ג</t>
  </si>
  <si>
    <t>מוסדי</t>
  </si>
  <si>
    <t>7.00</t>
  </si>
  <si>
    <t>1209</t>
  </si>
  <si>
    <t>בלינצ'ס במילוי גבינת טבורוג מוקפא7 ק"ג</t>
  </si>
  <si>
    <t>1208</t>
  </si>
  <si>
    <t>בלינצ'ס) פרווה (במילוי דובדבן מוקפא7 ק"ג</t>
  </si>
  <si>
    <t>3.96</t>
  </si>
  <si>
    <t>411001</t>
  </si>
  <si>
    <t>טבורוג 5% שומן300 גרם9) PRESIDENT)</t>
  </si>
  <si>
    <t>PRESIDENT</t>
  </si>
  <si>
    <t>411000</t>
  </si>
  <si>
    <t>טבורוג 5% שומן220 גרם12) PRESIDENT)</t>
  </si>
  <si>
    <t>2.64</t>
  </si>
  <si>
    <t>410002</t>
  </si>
  <si>
    <t>שמנת חמוצה טבעית 15% שומן300 גרם8) PRESIDENT)</t>
  </si>
  <si>
    <t>2.40</t>
  </si>
  <si>
    <t>410003</t>
  </si>
  <si>
    <t>שמנת חמוצה טבעית 20% שומן300 גרם8) PRESIDENT)</t>
  </si>
  <si>
    <t>410004</t>
  </si>
  <si>
    <t>שמנת חמוצה טבעית 30% שומן300 גרם8) PRESIDENT)</t>
  </si>
  <si>
    <t>413200</t>
  </si>
  <si>
    <t>גבינה קשה למחצה הולנד 24.5% שומן160 גרם14) PRESIDENT)</t>
  </si>
  <si>
    <t>2.24</t>
  </si>
  <si>
    <t>413201</t>
  </si>
  <si>
    <t>גבינה קשה למחצה גאודה 28.5% שומן160 גרם14) PRESIDENT)</t>
  </si>
  <si>
    <t>413202</t>
  </si>
  <si>
    <t>גבינה קשה למחצה טילזיטר 28.5% שומן160 גרם14) PRESIDENT)</t>
  </si>
  <si>
    <t>413500</t>
  </si>
  <si>
    <t>פרוסות גבינה קשה למחצה הולנד 24.5% שומן135 ג14) PRESIDENT)</t>
  </si>
  <si>
    <t>1.89</t>
  </si>
  <si>
    <t>413501</t>
  </si>
  <si>
    <t>פרוסות גבינה קשה למחצה גאודה 28.5% שומן135 ג14) PRESIDENT)</t>
  </si>
  <si>
    <t>413502</t>
  </si>
  <si>
    <t>פרוסות גבינה קשה למחצה טילזיטר28.5% שומן135 ג14) PRESIDENT)</t>
  </si>
  <si>
    <t>412500</t>
  </si>
  <si>
    <t>גבינה מותכת קרמי 18.3% שומן150 גרם12) PRESIDENT)</t>
  </si>
  <si>
    <t>1.80</t>
  </si>
  <si>
    <t>412501</t>
  </si>
  <si>
    <t>גבינה מותכת גאודה 17% שומן150 גרם12) PRESIDENT)</t>
  </si>
  <si>
    <t>412502</t>
  </si>
  <si>
    <t>גבינה מותכת מאסדם 17% שומן150 גרם12) PRESIDENT)</t>
  </si>
  <si>
    <t>412200</t>
  </si>
  <si>
    <t>גבינה מותכת קרמי 14.1% שומן70 גרם24) PRESIDENT)</t>
  </si>
  <si>
    <t>1.68</t>
  </si>
  <si>
    <t>412201</t>
  </si>
  <si>
    <t>גבינה מותכת הולנד 14% שומן70 גרם24) PRESIDENT)</t>
  </si>
  <si>
    <t>412202</t>
  </si>
  <si>
    <t>גבינה מותכת גאודה 14% שומן70 גרם24) PRESIDENT)</t>
  </si>
  <si>
    <t>410000</t>
  </si>
  <si>
    <t>שמנת חמוצה טבעית 15% שומן180 גרם8) PRESIDENT)</t>
  </si>
  <si>
    <t>1.44</t>
  </si>
  <si>
    <t>410001</t>
  </si>
  <si>
    <t>שמנת חמוצה טבעית 20% שומן180 גרם8) PRESIDENT)</t>
  </si>
  <si>
    <t>411500</t>
  </si>
  <si>
    <t>גבינת שמנת קלאסית 24.5% שומן180 גרם6)PRESIDENT)</t>
  </si>
  <si>
    <t>1.08</t>
  </si>
  <si>
    <t>413000</t>
  </si>
  <si>
    <t xml:space="preserve">גבינה קשה למחצה הולנד 24.5% שומן8) PRESIDENT) </t>
  </si>
  <si>
    <t>413001</t>
  </si>
  <si>
    <t xml:space="preserve">גבינה קשה למחצה גאודה 28.5% שומן8) PRESIDENT) </t>
  </si>
  <si>
    <t>413002</t>
  </si>
  <si>
    <t xml:space="preserve">גבינה קשה למחצה טילזיטר 28.5% שומן8) PRESIDENT) </t>
  </si>
  <si>
    <t>630</t>
  </si>
  <si>
    <t>קפיר0.9 "KEFIR" ל(10) '</t>
  </si>
  <si>
    <t>9.00</t>
  </si>
  <si>
    <t>5.00</t>
  </si>
  <si>
    <t>1077</t>
  </si>
  <si>
    <t>שמנת 15% SMETANA שומן350 ג(12)'</t>
  </si>
  <si>
    <t>4.20</t>
  </si>
  <si>
    <t>631</t>
  </si>
  <si>
    <t>משקה חלב0.5 "RIAZENKA" ל(6) '</t>
  </si>
  <si>
    <t>1076</t>
  </si>
  <si>
    <t>שמנת 30% SMETANA שומן200 ג(12) '</t>
  </si>
  <si>
    <t>1050</t>
  </si>
  <si>
    <t>דייסת שיבולת שועל200 ג(6)'</t>
  </si>
  <si>
    <t>1052</t>
  </si>
  <si>
    <t>דייסת סולת עם תותי בר200 ג(6)'</t>
  </si>
  <si>
    <t>1053</t>
  </si>
  <si>
    <t>דייסת אורז עם משמש200 ג(6)'</t>
  </si>
  <si>
    <t>1060</t>
  </si>
  <si>
    <t>יוגורט יווני200 ג(6)'</t>
  </si>
  <si>
    <t>1062</t>
  </si>
  <si>
    <t>יוגורט יווני עם דובדבן200 ג(6)'</t>
  </si>
  <si>
    <t>0.90</t>
  </si>
  <si>
    <t>646</t>
  </si>
  <si>
    <t xml:space="preserve">טבורוג 800 5% גרם(4) (SVALYA) </t>
  </si>
  <si>
    <t>2.80</t>
  </si>
  <si>
    <t>645</t>
  </si>
  <si>
    <t xml:space="preserve">טבורוג 350 5% גרם(8) (SVALYA) </t>
  </si>
  <si>
    <t>1.50</t>
  </si>
  <si>
    <t>659</t>
  </si>
  <si>
    <t xml:space="preserve">גבינה מותכת 28%  שומן160 גרםSVALYA(6) </t>
  </si>
  <si>
    <t>0.96</t>
  </si>
  <si>
    <t>670</t>
  </si>
  <si>
    <t xml:space="preserve"> SVALIAתחליף גבינה600 ג(9)'</t>
  </si>
  <si>
    <t>SVALIA תוסורפ</t>
  </si>
  <si>
    <t>5.40</t>
  </si>
  <si>
    <t>672</t>
  </si>
  <si>
    <t xml:space="preserve"> ROSSIYSKIYתחליף גבינה600 ג(9)'</t>
  </si>
  <si>
    <t>673</t>
  </si>
  <si>
    <t xml:space="preserve"> GURMANמעושן תחליף גבינה600 ג(6)'</t>
  </si>
  <si>
    <t>649</t>
  </si>
  <si>
    <t>פרוסות גבינה 27% "EMMENTAL" שומן150 ג(18)'</t>
  </si>
  <si>
    <t>650</t>
  </si>
  <si>
    <t>פרוסות גבינה 24.7% "MAASDAM" שומן150 ג(18)'</t>
  </si>
  <si>
    <t>667</t>
  </si>
  <si>
    <t xml:space="preserve"> SVALIAתחליף גבינה150 ג(18)'</t>
  </si>
  <si>
    <t>668</t>
  </si>
  <si>
    <t xml:space="preserve"> DVAROתחליף גבינה150 ג(18)'</t>
  </si>
  <si>
    <t>669</t>
  </si>
  <si>
    <t xml:space="preserve"> ROSSIYSKIYתחליף גבינה150 ג(18)'</t>
  </si>
  <si>
    <t>677</t>
  </si>
  <si>
    <t xml:space="preserve"> GURMANמעושן תחליף גבינה150 ג(14)'</t>
  </si>
  <si>
    <t>2.25</t>
  </si>
  <si>
    <t>1006</t>
  </si>
  <si>
    <t>פילה דג הרינג מומלח בשמן מצונן1000 ג(3)'</t>
  </si>
  <si>
    <t>7.20</t>
  </si>
  <si>
    <t>1175</t>
  </si>
  <si>
    <t>פילה דג הרינג סקנדינבי מומלח בשמן מצונן1000 ג(3)'</t>
  </si>
  <si>
    <t>1126</t>
  </si>
  <si>
    <t xml:space="preserve">סלט איקרה ורודה 900 גרםNP(8) </t>
  </si>
  <si>
    <t>2.50</t>
  </si>
  <si>
    <t>1127</t>
  </si>
  <si>
    <t xml:space="preserve">סלט איקרה עם פורל וסלמון מעושנים 900 גרםNP(8) </t>
  </si>
  <si>
    <t>1011</t>
  </si>
  <si>
    <t>חתיכות פילה דג הרינג מלוח מצונן250 ג(10)'</t>
  </si>
  <si>
    <t>1000</t>
  </si>
  <si>
    <t>פילה דג הרינג מומלח בשמן מצונן1200 ג(3)'</t>
  </si>
  <si>
    <t>3.60</t>
  </si>
  <si>
    <t>1120</t>
  </si>
  <si>
    <t>פילה דג הרינג סקנדינבי מלוח מצונן250 ג(10)'</t>
  </si>
  <si>
    <t>1005</t>
  </si>
  <si>
    <t>חתיכות פילה דג הרינג מלוח מצונן400 ג(6)'</t>
  </si>
  <si>
    <t>1002</t>
  </si>
  <si>
    <t>חתיכות פילה דג הרינג מומלח בשמן מצונן1200 ג(3)'</t>
  </si>
  <si>
    <t>1004</t>
  </si>
  <si>
    <t>חתיכות פילה דג הרינג  סקנדינבי מומלח בשמן מצונן1200 ג(3)'</t>
  </si>
  <si>
    <t>400002</t>
  </si>
  <si>
    <t>נתחי פילה הרינג כבוש עם בצל מצונן520  ג6)NP)</t>
  </si>
  <si>
    <t>1047</t>
  </si>
  <si>
    <t>חתיכות פילה דג הרינג מתובל מלוח בשמן400 ג(6)'</t>
  </si>
  <si>
    <t>1166</t>
  </si>
  <si>
    <t>חתיכות פילה דג הרינג מומלח בשמן מצונן500 ג(6)'</t>
  </si>
  <si>
    <t>1048</t>
  </si>
  <si>
    <t>חתיכות פילה דג הרינג סקנדינבי מלוח בשמן400 ג(6)'</t>
  </si>
  <si>
    <t>1055</t>
  </si>
  <si>
    <t>סלט אצות ים מוחמצות200 ג(12)'</t>
  </si>
  <si>
    <t>1056</t>
  </si>
  <si>
    <t>סלט אצות ים מוחמצות ומתובלות עם גזר200 ג(12)'</t>
  </si>
  <si>
    <t>1057</t>
  </si>
  <si>
    <t>סלט אצות ים מוחמצות עם בצל ופפריקה מתוקה200 ג(12)'</t>
  </si>
  <si>
    <t>1167</t>
  </si>
  <si>
    <t>חתיכות פילה דג הרינג סקנדינבי מומלח בשמן מצונן500 ג(6)'</t>
  </si>
  <si>
    <t>1174</t>
  </si>
  <si>
    <t>פילה דג הרינג מומלח XXL בשמן מצונן300 ג(6)'</t>
  </si>
  <si>
    <t>1168</t>
  </si>
  <si>
    <t>חתיכות פילה דג הרינג מומלח בשמן מצונן עם תבלין500  ג(6)'</t>
  </si>
  <si>
    <t>1012</t>
  </si>
  <si>
    <t>חתיכות פילה דג הרינג מלוח מצונן עם בצל260 ג(6)'</t>
  </si>
  <si>
    <t>1.56</t>
  </si>
  <si>
    <t>400001</t>
  </si>
  <si>
    <t>נתחי פילה הרינג עם בצל וזיתים מצונן" פרובינציאל500  "ג6)NP)</t>
  </si>
  <si>
    <t>1013</t>
  </si>
  <si>
    <t>חתיכות פילה דג הרינג מלוח מצונן עם תבלין260 ג(6)</t>
  </si>
  <si>
    <t>400003</t>
  </si>
  <si>
    <t>נתחי פילה הרינג מומלח עם שמיר בשמן מצונן500 ג6)NP)</t>
  </si>
  <si>
    <t>1014</t>
  </si>
  <si>
    <t>חתיכות פילה דג הרינג מלוח מצונן260 ג(6)'</t>
  </si>
  <si>
    <t>2.53</t>
  </si>
  <si>
    <t>1019</t>
  </si>
  <si>
    <t>ביצי דג זהבנון מומלח מצונן130 ג(12)'</t>
  </si>
  <si>
    <t>1157</t>
  </si>
  <si>
    <t>פילה הרינג קצוץ בשמן400 ג(6)'</t>
  </si>
  <si>
    <t>1020</t>
  </si>
  <si>
    <t>ביצי דג שיבוט אטלנטי מומלח מצונן130 ג(12)'</t>
  </si>
  <si>
    <t>1165</t>
  </si>
  <si>
    <t>פילה דג הרינג מומלח בשמן מצונן400 ג(6)'</t>
  </si>
  <si>
    <t>1049</t>
  </si>
  <si>
    <t>חתיכות פילה דג הרינג סקנדינבי מלוח מצונן260 ג(6)'</t>
  </si>
  <si>
    <t>1170</t>
  </si>
  <si>
    <t>חתיכות פילה דג הרינג מומלח בשמן מצונן290 ג(6)'</t>
  </si>
  <si>
    <t>1.74</t>
  </si>
  <si>
    <t>1015</t>
  </si>
  <si>
    <t>איקרה ביצי דג טרוטונית והרינג180 ג(6)'</t>
  </si>
  <si>
    <t>1171</t>
  </si>
  <si>
    <t>חתיכות פילה דג הרינג מומלח בשמן מצונן עם בצל290 ג(6)'</t>
  </si>
  <si>
    <t>1017</t>
  </si>
  <si>
    <t>איקרה ביצי דג טרוטונית והרינג עם פורל וסלמון180 ג(6)'</t>
  </si>
  <si>
    <t>1018</t>
  </si>
  <si>
    <t>ביצי דג טרוטונית אטלנטי עם חסילונים180 ג(6)'</t>
  </si>
  <si>
    <t>1173</t>
  </si>
  <si>
    <t>חתיכות פילה דג הרינג  סקנדינבי מומלח בשמן מצונן290 ג(6)'</t>
  </si>
  <si>
    <t>1109</t>
  </si>
  <si>
    <t>איקרה ביצי דג טרוטונית והרינג עם אבקדו,פורל וסלמון180 ג(6)'</t>
  </si>
  <si>
    <t>1163</t>
  </si>
  <si>
    <t>תיכות פילה דג הרינג מומלח בשמן מצונן150 ג(10)'</t>
  </si>
  <si>
    <t>1108</t>
  </si>
  <si>
    <t>סלט אצות ים-צ'וקה150 ג(6)'</t>
  </si>
  <si>
    <t>1164</t>
  </si>
  <si>
    <t>חתיכות פילה דג הרינג מומלח עם בצל בשמן מצונן150 ג(10)'</t>
  </si>
  <si>
    <t>מלאי (קרטון)</t>
  </si>
  <si>
    <t>‬פילה סלמון מעושן פרוס מצונן100 גרםNP(10) ‭</t>
  </si>
  <si>
    <t>036</t>
  </si>
  <si>
    <t>‬פילה פורל מעושן פרוס מצונן100 גרםNP(10) ‭</t>
  </si>
  <si>
    <t>‬פילה סלמון מעושן פרוס מצונן250 גרםNP(9) ‭</t>
  </si>
  <si>
    <t>‬פילה מקרל מומלח בעישון חם מצונן150 גרם8) NP) ‭</t>
  </si>
  <si>
    <t>‬פילה פורל מעושן פרוס מצונן250 גרםNP(9) ‭</t>
  </si>
  <si>
    <t>‬פילה פורל מעושן מצונן200 גרםNP(5) ‭</t>
  </si>
  <si>
    <t>‬פילה סלמון מעושן מצונן200 גרםNP(5) ‭</t>
  </si>
  <si>
    <t>1113</t>
  </si>
  <si>
    <t>‬שבבי קלמר מיובש ומומלח90 ג(50)'‭</t>
  </si>
  <si>
    <t>032</t>
  </si>
  <si>
    <t>‬פילה מקרל מומלח בעישון חם עם פלפל שחור גרוס150 גרם8) NP) ‭</t>
  </si>
  <si>
    <t>1114</t>
  </si>
  <si>
    <t>‬רצועות קלמר מיובש ומומלח בטעם סרטן90 ג(50)'‭</t>
  </si>
  <si>
    <t>1115</t>
  </si>
  <si>
    <t>‬רצועות קלמר מעושן מיובש ומומלח90 ג(50)'‭</t>
  </si>
  <si>
    <t>1117</t>
  </si>
  <si>
    <t>‬פרוסות דג שיבוט אלבין מיובש ומומלח100 ג(50)'‭</t>
  </si>
  <si>
    <t>1119</t>
  </si>
  <si>
    <t>‬פרוסות דג שיבוט אלבין מיובש ומומלח ללא עור90 ג(50)'‭</t>
  </si>
  <si>
    <t>1118</t>
  </si>
  <si>
    <t>‬פרוסות דג שיבוט אלבין מיובש עם צ'ילי100 ג(50)'‭</t>
  </si>
  <si>
    <t>1112</t>
  </si>
  <si>
    <t>‬שבבי דיונון בטעם סרטן מבושל,מיובש ומומלח90 ג(50)'‭</t>
  </si>
  <si>
    <t>1116</t>
  </si>
  <si>
    <t>‬רצועות קלמר מיובש ומומלח עם פלפל צ'ילי90 ג(50)'‭</t>
  </si>
  <si>
    <t>סה"כ</t>
  </si>
  <si>
    <t>מלאי צפון (קרט)</t>
  </si>
  <si>
    <t>קרט/יום</t>
  </si>
  <si>
    <t>יספיק ל (ימים)</t>
  </si>
  <si>
    <t>‬יוגורט יווני200 ג(6)'‭</t>
  </si>
  <si>
    <t>‬עוגת NAPOLEON שכבות בצק עלים וקרם וניל1 ק"ג(4)‭</t>
  </si>
  <si>
    <t>‬טבורוג 800 5% גרם(4) (SVALYA) ‭</t>
  </si>
  <si>
    <t>‬יוגורט יווני עם דובדבן150 ג(6)'‭</t>
  </si>
  <si>
    <t>‬קפיר0.9 (KEFIR) ל(10) '‭</t>
  </si>
  <si>
    <t>‬שמנת 30% SMETANA שומן200 ג(12) '‭</t>
  </si>
  <si>
    <t>‬שמנת חמוצה טבעית 15% שומן300 גרם8) PRESIDENT)‭</t>
  </si>
  <si>
    <t>‬גבינה מותכת  CREAMY שומן150 18.3% גרם12) PRESIDENT)‭</t>
  </si>
  <si>
    <t>‬גבינה מותכת  GOUDA שומן150 17% גרם12) PRESIDENT)‭</t>
  </si>
  <si>
    <t>‬שמנת חמוצה טבעית 30% שומן300 גרם8) PRESIDENT)‭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</si>
</sst>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7" x14ac:knownFonts="1">
    <font>
      <color theme="1"/>
      <family val="2"/>
      <scheme val="minor"/>
      <sz val="11"/>
      <name val="Calibri"/>
    </font>
    <font>
      <b/>
      <color rgb="FFFFFFFF"/>
      <sz val="11"/>
      <name val="Arial"/>
    </font>
    <font>
      <b/>
      <sz val="8"/>
      <name val="Arial"/>
    </font>
    <font>
      <b/>
      <color rgb="FF333333"/>
      <sz val="10"/>
      <name val="Arial"/>
    </font>
    <font>
      <charset val="177"/>
      <color theme="1"/>
      <family val="2"/>
      <scheme val="minor"/>
      <sz val="11"/>
      <name val="Arial"/>
    </font>
    <font>
      <b/>
      <color theme="0"/>
      <family val="2"/>
      <scheme val="minor"/>
      <sz val="11"/>
      <name val="Arial"/>
    </font>
    <font>
      <charset val="177"/>
      <color theme="1"/>
      <family val="2"/>
      <scheme val="minor"/>
      <sz val="14"/>
      <name val="Arial"/>
    </font>
    <font>
      <b/>
      <color rgb="FFCC0000"/>
      <sz val="13"/>
      <name val="Arial"/>
    </font>
    <font>
      <b/>
      <sz val="9"/>
      <name val="Arial"/>
    </font>
    <font>
      <sz val="9"/>
      <name val="Arial"/>
    </font>
    <font>
      <b/>
      <sz val="10"/>
      <name val="Arial"/>
    </font>
    <font>
      <b/>
      <color rgb="FFCC0000"/>
      <sz val="9"/>
      <name val="Arial"/>
    </font>
    <font>
      <b/>
      <color rgb="FFFFFFFF"/>
      <sz val="10"/>
      <name val="Arial"/>
    </font>
    <font>
      <b/>
    </font>
    <font>
      <b/>
      <color rgb="FFFFFFFF"/>
    </font>
    <font>
      <b/>
      <color rgb="FFCC0000"/>
    </font>
    <font>
      <color rgb="FF885500"/>
    </font>
  </fonts>
  <fills count="39">
    <fill>
      <patternFill patternType="none"/>
    </fill>
    <fill>
      <patternFill patternType="gray125"/>
    </fill>
    <fill>
      <patternFill patternType="solid">
        <fgColor rgb="FF1565C0"/>
      </patternFill>
    </fill>
    <fill>
      <patternFill patternType="solid">
        <fgColor rgb="FFE0F7FA"/>
      </patternFill>
    </fill>
    <fill>
      <patternFill patternType="solid">
        <fgColor rgb="FFD5EAF5"/>
      </patternFill>
    </fill>
    <fill>
      <patternFill patternType="solid">
        <fgColor rgb="FFF5F5F5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E0E0"/>
      </patternFill>
    </fill>
    <fill>
      <patternFill patternType="solid">
        <fgColor rgb="FFFFF5F5"/>
      </patternFill>
    </fill>
    <fill>
      <patternFill patternType="solid">
        <fgColor rgb="FFFCE4EC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1F8E9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FFFAD5"/>
      </patternFill>
    </fill>
    <fill>
      <patternFill patternType="solid">
        <fgColor rgb="FFFFFCC0"/>
      </patternFill>
    </fill>
    <fill>
      <patternFill patternType="solid">
        <fgColor rgb="FFFFFAB0"/>
      </patternFill>
    </fill>
    <fill>
      <patternFill patternType="solid">
        <fgColor rgb="FFD4E8FF"/>
      </patternFill>
    </fill>
    <fill>
      <patternFill patternType="solid">
        <fgColor rgb="FFE8D5F5"/>
      </patternFill>
    </fill>
    <fill>
      <patternFill patternType="solid">
        <fgColor rgb="FFFFF0CC"/>
      </patternFill>
    </fill>
    <fill>
      <patternFill patternType="solid">
        <fgColor rgb="FFFFD5D5"/>
      </patternFill>
    </fill>
    <fill>
      <patternFill patternType="solid">
        <fgColor rgb="FFD5FFD5"/>
      </patternFill>
    </fill>
    <fill>
      <patternFill patternType="solid">
        <fgColor rgb="FFFFFF9A"/>
      </patternFill>
    </fill>
    <fill>
      <patternFill patternType="solid">
        <fgColor rgb="FFFFDEA0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E5FF"/>
      </patternFill>
    </fill>
    <fill>
      <patternFill patternType="solid">
        <fgColor rgb="FFFFDDDD"/>
      </patternFill>
    </fill>
    <fill>
      <patternFill patternType="solid">
        <fgColor rgb="FFD5F5D5"/>
      </patternFill>
    </fill>
    <fill>
      <patternFill patternType="solid">
        <fgColor rgb="FF2E4057"/>
      </patternFill>
    </fill>
    <fill>
      <patternFill patternType="solid">
        <fgColor rgb="FFFAFAFA"/>
      </patternFill>
    </fill>
    <fill>
      <patternFill patternType="solid">
        <fgColor rgb="FFF0F4FF"/>
      </patternFill>
    </fill>
    <fill>
      <patternFill patternType="solid">
        <fgColor rgb="FFCC0000"/>
      </patternFill>
    </fill>
    <fill>
      <patternFill patternType="solid">
        <fgColor rgb="FFFFCCCC"/>
      </patternFill>
    </fill>
    <fill>
      <patternFill patternType="solid">
        <fgColor rgb="FFFFF5CC"/>
      </patternFill>
    </fill>
  </fills>
  <borders count="37">
    <border>
      <left/>
      <right/>
      <top/>
      <bottom/>
      <diagonal/>
    </border>
    <border>
      <left style="thin"/>
      <right style="thin"/>
      <top style="thin"/>
      <bottom style="medium"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0F7FA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5EAF5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1F8E9"/>
      </left>
      <right style="thin"/>
      <top style="thin"/>
      <bottom style="thin"/>
      <diagonal/>
    </border>
    <border>
      <left style="medium">
        <color rgb="FFFCE4EC"/>
      </left>
      <right style="thin"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FAD5"/>
      </left>
      <right style="thin"/>
      <top style="thin"/>
      <bottom style="thin"/>
      <diagonal/>
    </border>
    <border>
      <left style="medium">
        <color rgb="FFE8D5F5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D4E8FF"/>
      </left>
      <right style="thin"/>
      <top style="thin"/>
      <bottom style="thin"/>
      <diagonal/>
    </border>
    <border>
      <left style="medium">
        <color rgb="FFFFFF9A"/>
      </left>
      <right style="thin"/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DEA0"/>
      </left>
      <right style="thin"/>
      <top style="thin"/>
      <bottom style="thin"/>
      <diagonal/>
    </border>
  </borders>
  <cellStyleXfs count="1">
    <xf numFmtId="0" fontId="0" fillId="0" borderId="0"/>
  </cellStyleXfs>
  <cellXfs count="10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right" vertical="center"/>
    </xf>
    <xf numFmtId="0" fontId="4" fillId="6" borderId="2" xfId="0" applyFont="1" applyFill="1" applyBorder="1"/>
    <xf numFmtId="0" fontId="4" fillId="6" borderId="3" xfId="0" applyFont="1" applyFill="1" applyBorder="1"/>
    <xf numFmtId="0" fontId="4" fillId="6" borderId="4" xfId="0" applyFont="1" applyFill="1" applyBorder="1"/>
    <xf numFmtId="0" fontId="4" fillId="7" borderId="3" xfId="0" applyFont="1" applyFill="1" applyBorder="1" applyAlignment="1">
      <alignment horizontal="center" vertical="center"/>
    </xf>
    <xf numFmtId="0" fontId="4" fillId="6" borderId="5" xfId="0" applyFont="1" applyFill="1" applyBorder="1"/>
    <xf numFmtId="0" fontId="4" fillId="6" borderId="0" xfId="0" applyFont="1" applyFill="1"/>
    <xf numFmtId="0" fontId="4" fillId="6" borderId="6" xfId="0" applyFont="1" applyFill="1" applyBorder="1"/>
    <xf numFmtId="0" fontId="4" fillId="7" borderId="0" xfId="0" applyFont="1" applyFill="1" applyAlignment="1">
      <alignment horizontal="center" vertical="center"/>
    </xf>
    <xf numFmtId="0" fontId="4" fillId="6" borderId="7" xfId="0" applyFont="1" applyFill="1" applyBorder="1"/>
    <xf numFmtId="0" fontId="4" fillId="6" borderId="8" xfId="0" applyFont="1" applyFill="1" applyBorder="1"/>
    <xf numFmtId="0" fontId="4" fillId="6" borderId="9" xfId="0" applyFont="1" applyFill="1" applyBorder="1"/>
    <xf numFmtId="0" fontId="4" fillId="7" borderId="10" xfId="0" applyFont="1" applyFill="1" applyBorder="1"/>
    <xf numFmtId="0" fontId="4" fillId="7" borderId="11" xfId="0" applyFont="1" applyFill="1" applyBorder="1"/>
    <xf numFmtId="0" fontId="4" fillId="8" borderId="12" xfId="0" applyFont="1" applyFill="1" applyBorder="1" applyAlignment="1">
      <alignment horizontal="right" vertical="top" wrapText="1"/>
    </xf>
    <xf numFmtId="0" fontId="4" fillId="8" borderId="13" xfId="0" applyFont="1" applyFill="1" applyBorder="1"/>
    <xf numFmtId="0" fontId="4" fillId="8" borderId="14" xfId="0" applyFont="1" applyFill="1" applyBorder="1" applyAlignment="1">
      <alignment horizontal="right" vertical="top" wrapText="1"/>
    </xf>
    <xf numFmtId="0" fontId="5" fillId="9" borderId="0" xfId="0" applyFont="1" applyFill="1" applyAlignment="1">
      <alignment horizontal="center" textRotation="255"/>
    </xf>
    <xf numFmtId="0" fontId="4" fillId="8" borderId="15" xfId="0" applyFont="1" applyFill="1" applyBorder="1"/>
    <xf numFmtId="0" fontId="4" fillId="8" borderId="16" xfId="0" applyFont="1" applyFill="1" applyBorder="1"/>
    <xf numFmtId="0" fontId="4" fillId="8" borderId="17" xfId="0" applyFont="1" applyFill="1" applyBorder="1"/>
    <xf numFmtId="0" fontId="4" fillId="8" borderId="18" xfId="0" applyFont="1" applyFill="1" applyBorder="1"/>
    <xf numFmtId="0" fontId="5" fillId="0" borderId="0" xfId="0" applyFont="1" applyAlignment="1">
      <alignment horizontal="center" textRotation="255"/>
    </xf>
    <xf numFmtId="0" fontId="6" fillId="7" borderId="5" xfId="0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7" fillId="0" borderId="0" xfId="0" applyFont="1" applyAlignment="1">
      <alignment horizontal="right"/>
    </xf>
    <xf numFmtId="0" fontId="8" fillId="10" borderId="19" xfId="0" applyFont="1" applyFill="1" applyBorder="1" applyAlignment="1">
      <alignment horizontal="center"/>
    </xf>
    <xf numFmtId="0" fontId="9" fillId="0" borderId="0" xfId="0" applyFont="1" applyAlignment="1">
      <alignment horizontal="right"/>
    </xf>
    <xf numFmtId="0" fontId="9" fillId="11" borderId="0" xfId="0" applyFont="1" applyFill="1" applyAlignment="1">
      <alignment horizontal="right"/>
    </xf>
    <xf numFmtId="0" fontId="2" fillId="12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2" fillId="14" borderId="1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/>
    </xf>
    <xf numFmtId="0" fontId="4" fillId="7" borderId="21" xfId="0" applyFont="1" applyFill="1" applyBorder="1" applyAlignment="1">
      <alignment horizontal="center"/>
    </xf>
    <xf numFmtId="0" fontId="4" fillId="7" borderId="21" xfId="0" applyFont="1" applyFill="1" applyBorder="1"/>
    <xf numFmtId="0" fontId="4" fillId="16" borderId="4" xfId="0" applyFont="1" applyFill="1" applyBorder="1"/>
    <xf numFmtId="0" fontId="4" fillId="7" borderId="15" xfId="0" applyFont="1" applyFill="1" applyBorder="1" applyAlignment="1">
      <alignment horizontal="center"/>
    </xf>
    <xf numFmtId="0" fontId="4" fillId="7" borderId="11" xfId="0" applyFont="1" applyFill="1" applyBorder="1" applyAlignment="1">
      <alignment horizontal="center"/>
    </xf>
    <xf numFmtId="0" fontId="4" fillId="16" borderId="6" xfId="0" applyFont="1" applyFill="1" applyBorder="1"/>
    <xf numFmtId="0" fontId="4" fillId="16" borderId="5" xfId="0" applyFont="1" applyFill="1" applyBorder="1"/>
    <xf numFmtId="0" fontId="4" fillId="16" borderId="0" xfId="0" applyFont="1" applyFill="1"/>
    <xf numFmtId="0" fontId="4" fillId="17" borderId="22" xfId="0" applyFont="1" applyFill="1" applyBorder="1" applyAlignment="1">
      <alignment horizontal="right" vertical="top" wrapText="1"/>
    </xf>
    <xf numFmtId="0" fontId="4" fillId="18" borderId="23" xfId="0" applyFont="1" applyFill="1" applyBorder="1" applyAlignment="1">
      <alignment horizontal="right" vertical="top" wrapText="1"/>
    </xf>
    <xf numFmtId="0" fontId="4" fillId="7" borderId="24" xfId="0" applyFont="1" applyFill="1" applyBorder="1" applyAlignment="1">
      <alignment horizontal="center"/>
    </xf>
    <xf numFmtId="0" fontId="4" fillId="7" borderId="25" xfId="0" applyFont="1" applyFill="1" applyBorder="1" applyAlignment="1">
      <alignment horizontal="center"/>
    </xf>
    <xf numFmtId="0" fontId="4" fillId="7" borderId="26" xfId="0" applyFont="1" applyFill="1" applyBorder="1" applyAlignment="1">
      <alignment horizontal="center"/>
    </xf>
    <xf numFmtId="0" fontId="5" fillId="16" borderId="5" xfId="0" applyFont="1" applyFill="1" applyBorder="1" applyAlignment="1">
      <alignment horizontal="center"/>
    </xf>
    <xf numFmtId="0" fontId="4" fillId="7" borderId="27" xfId="0" applyFont="1" applyFill="1" applyBorder="1" applyAlignment="1">
      <alignment horizontal="center"/>
    </xf>
    <xf numFmtId="0" fontId="4" fillId="7" borderId="28" xfId="0" applyFont="1" applyFill="1" applyBorder="1" applyAlignment="1">
      <alignment horizontal="center"/>
    </xf>
    <xf numFmtId="0" fontId="4" fillId="7" borderId="29" xfId="0" applyFont="1" applyFill="1" applyBorder="1"/>
    <xf numFmtId="0" fontId="4" fillId="16" borderId="9" xfId="0" applyFont="1" applyFill="1" applyBorder="1"/>
    <xf numFmtId="0" fontId="5" fillId="9" borderId="0" xfId="0" applyFont="1" applyFill="1" applyAlignment="1">
      <alignment horizontal="center"/>
    </xf>
    <xf numFmtId="0" fontId="2" fillId="19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horizontal="center"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25" borderId="1" xfId="0" applyFont="1" applyFill="1" applyBorder="1" applyAlignment="1">
      <alignment horizontal="center" vertical="center"/>
    </xf>
    <xf numFmtId="0" fontId="2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2" fillId="28" borderId="1" xfId="0" applyFont="1" applyFill="1" applyBorder="1" applyAlignment="1">
      <alignment horizontal="center" vertical="center"/>
    </xf>
    <xf numFmtId="0" fontId="4" fillId="29" borderId="30" xfId="0" applyFont="1" applyFill="1" applyBorder="1" applyAlignment="1">
      <alignment horizontal="right" vertical="top" wrapText="1"/>
    </xf>
    <xf numFmtId="0" fontId="4" fillId="29" borderId="31" xfId="0" applyFont="1" applyFill="1" applyBorder="1" applyAlignment="1">
      <alignment horizontal="right" vertical="top" wrapText="1"/>
    </xf>
    <xf numFmtId="0" fontId="4" fillId="6" borderId="32" xfId="0" applyFont="1" applyFill="1" applyBorder="1"/>
    <xf numFmtId="0" fontId="4" fillId="29" borderId="33" xfId="0" applyFont="1" applyFill="1" applyBorder="1" applyAlignment="1">
      <alignment horizontal="right" vertical="top" wrapText="1"/>
    </xf>
    <xf numFmtId="0" fontId="5" fillId="9" borderId="0" xfId="0" applyFont="1" applyFill="1" applyAlignment="1">
      <alignment horizontal="center" vertical="center" textRotation="255"/>
    </xf>
    <xf numFmtId="0" fontId="4" fillId="29" borderId="34" xfId="0" applyFont="1" applyFill="1" applyBorder="1" applyAlignment="1">
      <alignment horizontal="right" vertical="top" wrapText="1"/>
    </xf>
    <xf numFmtId="0" fontId="5" fillId="0" borderId="0" xfId="0" applyFont="1" applyAlignment="1">
      <alignment horizontal="center" vertical="center" textRotation="255"/>
    </xf>
    <xf numFmtId="0" fontId="4" fillId="29" borderId="35" xfId="0" applyFont="1" applyFill="1" applyBorder="1"/>
    <xf numFmtId="0" fontId="4" fillId="29" borderId="36" xfId="0" applyFont="1" applyFill="1" applyBorder="1" applyAlignment="1">
      <alignment horizontal="right" vertical="top" wrapText="1"/>
    </xf>
    <xf numFmtId="0" fontId="4" fillId="16" borderId="8" xfId="0" applyFont="1" applyFill="1" applyBorder="1"/>
    <xf numFmtId="0" fontId="10" fillId="30" borderId="0" xfId="0" applyFont="1" applyFill="1" applyAlignment="1">
      <alignment horizontal="center"/>
    </xf>
    <xf numFmtId="0" fontId="9" fillId="5" borderId="0" xfId="0" applyFont="1" applyFill="1" applyAlignment="1">
      <alignment horizontal="right"/>
    </xf>
    <xf numFmtId="0" fontId="9" fillId="31" borderId="0" xfId="0" applyFont="1" applyFill="1" applyAlignment="1">
      <alignment horizontal="right"/>
    </xf>
    <xf numFmtId="0" fontId="11" fillId="31" borderId="0" xfId="0" applyFont="1" applyFill="1" applyAlignment="1">
      <alignment horizontal="right"/>
    </xf>
    <xf numFmtId="0" fontId="10" fillId="32" borderId="0" xfId="0" applyFont="1" applyFill="1" applyAlignment="1">
      <alignment horizontal="center"/>
    </xf>
    <xf numFmtId="0" fontId="10" fillId="24" borderId="0" xfId="0" applyFont="1" applyFill="1" applyAlignment="1">
      <alignment horizontal="center"/>
    </xf>
    <xf numFmtId="0" fontId="12" fillId="33" borderId="0" xfId="0" applyFont="1" applyFill="1" applyAlignment="1">
      <alignment horizontal="center"/>
    </xf>
    <xf numFmtId="0" fontId="0" fillId="34" borderId="0" xfId="0" applyFill="1"/>
    <xf numFmtId="3" fontId="0" fillId="34" borderId="0" xfId="0" applyNumberFormat="1" applyFill="1" applyAlignment="1">
      <alignment horizontal="right"/>
    </xf>
    <xf numFmtId="0" fontId="0" fillId="35" borderId="0" xfId="0" applyFill="1"/>
    <xf numFmtId="3" fontId="0" fillId="35" borderId="0" xfId="0" applyNumberFormat="1" applyFill="1" applyAlignment="1">
      <alignment horizontal="right"/>
    </xf>
    <xf numFmtId="0" fontId="13" fillId="0" borderId="0" xfId="0" applyFont="1"/>
    <xf numFmtId="3" fontId="14" fillId="33" borderId="0" xfId="0" applyNumberFormat="1" applyFont="1" applyFill="1"/>
    <xf numFmtId="0" fontId="12" fillId="36" borderId="0" xfId="0" applyFont="1" applyFill="1" applyAlignment="1">
      <alignment horizontal="center"/>
    </xf>
    <xf numFmtId="0" fontId="0" fillId="37" borderId="0" xfId="0" applyFill="1"/>
    <xf numFmtId="3" fontId="0" fillId="37" borderId="0" xfId="0" applyNumberFormat="1" applyFill="1"/>
    <xf numFmtId="164" fontId="0" fillId="37" borderId="0" xfId="0" applyNumberFormat="1" applyFill="1"/>
    <xf numFmtId="2" fontId="15" fillId="37" borderId="0" xfId="0" applyNumberFormat="1" applyFont="1" applyFill="1"/>
    <xf numFmtId="0" fontId="0" fillId="38" borderId="0" xfId="0" applyFill="1"/>
    <xf numFmtId="3" fontId="0" fillId="38" borderId="0" xfId="0" applyNumberFormat="1" applyFill="1"/>
    <xf numFmtId="164" fontId="0" fillId="38" borderId="0" xfId="0" applyNumberFormat="1" applyFill="1"/>
    <xf numFmtId="2" fontId="16" fillId="38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-0.249977111117893"/>
  </sheetPr>
  <dimension ref="A1:T37"/>
  <sheetViews>
    <sheetView workbookViewId="0" rightToLeft="1" zoomScale="85" zoomScaleNormal="100" view="pageBreakPreview">
      <pane ySplit="2" topLeftCell="A3" activePane="bottomLeft" state="frozen"/>
      <selection pane="bottomLeft" activeCell="D5" sqref="D5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19" width="32" customWidth="1"/>
  </cols>
  <sheetData>
    <row r="1" ht="26" customHeight="1" spans="1:20" x14ac:dyDescent="0.25">
      <c r="A1" s="1" t="s">
        <v>140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14" x14ac:dyDescent="0.25">
      <c r="A2" s="58">
        <f>HYPERLINK("#'MAHSAN 8'!B4","חמאה FERMA")</f>
      </c>
      <c r="B2" s="59">
        <f>HYPERLINK("#'MAHSAN 8'!C4","חמאה רושן")</f>
      </c>
      <c r="C2" s="60">
        <f>HYPERLINK("#'MAHSAN 8'!D4","ממרחי חמאה")</f>
      </c>
      <c r="D2" s="61">
        <f>HYPERLINK("#'MAHSAN 8'!I4","בלינצס")</f>
      </c>
      <c r="E2" s="62">
        <f>HYPERLINK("#'MAHSAN 8'!N4","כיסונים")</f>
      </c>
      <c r="F2" s="63">
        <f>HYPERLINK("#'MAHSAN 8'!S5","בצק")</f>
      </c>
      <c r="G2" s="61">
        <f>HYPERLINK("#'MAHSAN 8'!S8","עלי בלינצס")</f>
      </c>
      <c r="H2" s="3">
        <f>HYPERLINK("#'MAHSAN 8'!R9","SANTA BREMOR דגים")</f>
      </c>
      <c r="I2" s="64">
        <f>HYPERLINK("#'MAHSAN 8'!P9","עוגות רושן")</f>
      </c>
      <c r="J2" s="65">
        <f>HYPERLINK("#'MAHSAN 8'!J9","עוגות מוזיקה")</f>
      </c>
      <c r="K2" s="66">
        <f>HYPERLINK("#'MAHSAN 8'!H9","חטיף גבינה")</f>
      </c>
      <c r="L2" s="67">
        <f>HYPERLINK("#'MAHSAN 8'!F17","מוסדי")</f>
      </c>
      <c r="N2" s="4" t="s">
        <v>1</v>
      </c>
    </row>
    <row r="3" ht="31.8" customHeight="1" spans="1:1" x14ac:dyDescent="0.25"/>
    <row r="4" ht="160" customHeight="1" spans="1:19" x14ac:dyDescent="0.25">
      <c r="B4" s="68" t="s">
        <v>141</v>
      </c>
      <c r="C4" s="69" t="s">
        <v>142</v>
      </c>
      <c r="D4" s="69" t="s">
        <v>143</v>
      </c>
      <c r="E4" s="69" t="s">
        <v>144</v>
      </c>
      <c r="F4" s="69" t="s">
        <v>145</v>
      </c>
      <c r="G4" s="69" t="s">
        <v>146</v>
      </c>
      <c r="H4" s="69" t="s">
        <v>147</v>
      </c>
      <c r="I4" s="69" t="s">
        <v>148</v>
      </c>
      <c r="J4" s="69" t="s">
        <v>149</v>
      </c>
      <c r="K4" s="69" t="s">
        <v>150</v>
      </c>
      <c r="L4" s="69" t="s">
        <v>151</v>
      </c>
      <c r="M4" s="69" t="s">
        <v>152</v>
      </c>
      <c r="N4" s="69" t="s">
        <v>153</v>
      </c>
      <c r="O4" s="69" t="s">
        <v>154</v>
      </c>
      <c r="P4" s="69" t="s">
        <v>155</v>
      </c>
      <c r="Q4" s="69" t="s">
        <v>156</v>
      </c>
      <c r="R4" s="69" t="s">
        <v>157</v>
      </c>
      <c r="S4" s="70"/>
    </row>
    <row r="5" ht="160" customHeight="1" spans="1:19" x14ac:dyDescent="0.25">
      <c r="B5" s="45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71" t="s">
        <v>158</v>
      </c>
    </row>
    <row r="6" ht="160" customHeight="1" spans="1:19" x14ac:dyDescent="0.25">
      <c r="A6" s="72" t="s">
        <v>24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71" t="s">
        <v>159</v>
      </c>
    </row>
    <row r="7" ht="160" customHeight="1" spans="1:19" x14ac:dyDescent="0.25">
      <c r="A7" s="72"/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71" t="s">
        <v>160</v>
      </c>
    </row>
    <row r="8" ht="160" customHeight="1" spans="1:19" x14ac:dyDescent="0.25">
      <c r="A8" s="72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71" t="s">
        <v>161</v>
      </c>
    </row>
    <row r="9" ht="160" customHeight="1" spans="1:19" x14ac:dyDescent="0.25">
      <c r="B9" s="45"/>
      <c r="C9" s="46"/>
      <c r="D9" s="46"/>
      <c r="E9" s="73" t="s">
        <v>162</v>
      </c>
      <c r="F9" s="73" t="s">
        <v>163</v>
      </c>
      <c r="G9" s="73" t="s">
        <v>164</v>
      </c>
      <c r="H9" s="73" t="s">
        <v>165</v>
      </c>
      <c r="I9" s="73" t="s">
        <v>166</v>
      </c>
      <c r="J9" s="73" t="s">
        <v>167</v>
      </c>
      <c r="K9" s="73" t="s">
        <v>168</v>
      </c>
      <c r="L9" s="73" t="s">
        <v>169</v>
      </c>
      <c r="M9" s="73" t="s">
        <v>170</v>
      </c>
      <c r="N9" s="73" t="s">
        <v>171</v>
      </c>
      <c r="O9" s="73" t="s">
        <v>172</v>
      </c>
      <c r="P9" s="73" t="s">
        <v>173</v>
      </c>
      <c r="Q9" s="73" t="s">
        <v>174</v>
      </c>
      <c r="R9" s="73" t="s">
        <v>175</v>
      </c>
      <c r="S9" s="11"/>
    </row>
    <row r="10" ht="31.8" customHeight="1" spans="1:19" x14ac:dyDescent="0.25">
      <c r="B10" s="45"/>
      <c r="C10" s="46"/>
      <c r="D10" s="46"/>
      <c r="E10" s="73">
        <v>36</v>
      </c>
      <c r="F10" s="73">
        <v>37</v>
      </c>
      <c r="G10" s="73">
        <v>38</v>
      </c>
      <c r="H10" s="73">
        <v>39</v>
      </c>
      <c r="I10" s="73">
        <v>40</v>
      </c>
      <c r="J10" s="73">
        <v>41</v>
      </c>
      <c r="K10" s="73">
        <v>42</v>
      </c>
      <c r="L10" s="73">
        <v>43</v>
      </c>
      <c r="M10" s="73">
        <v>44</v>
      </c>
      <c r="N10" s="73">
        <v>45</v>
      </c>
      <c r="O10" s="73">
        <v>46</v>
      </c>
      <c r="P10" s="73">
        <v>47</v>
      </c>
      <c r="Q10" s="73">
        <v>48</v>
      </c>
      <c r="R10" s="73">
        <v>49</v>
      </c>
      <c r="S10" s="11"/>
    </row>
    <row r="11" ht="31.8" customHeight="1" spans="1:20" x14ac:dyDescent="0.25">
      <c r="B11" s="45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4"/>
      <c r="T11" s="74"/>
    </row>
    <row r="12" ht="31.8" customHeight="1" spans="1:20" x14ac:dyDescent="0.25">
      <c r="B12" s="45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4"/>
      <c r="T12" s="74"/>
    </row>
    <row r="13" ht="31.8" customHeight="1" spans="1:20" x14ac:dyDescent="0.25">
      <c r="B13" s="45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4"/>
      <c r="T13" s="74"/>
    </row>
    <row r="14" ht="31.8" customHeight="1" spans="1:19" x14ac:dyDescent="0.25">
      <c r="B14" s="45"/>
      <c r="C14" s="46"/>
      <c r="D14" s="46"/>
      <c r="E14" s="46"/>
      <c r="F14" s="46"/>
      <c r="G14" s="46"/>
      <c r="H14" s="46"/>
      <c r="I14" s="46"/>
      <c r="J14" s="46"/>
      <c r="K14" s="46"/>
      <c r="L14" s="17"/>
      <c r="M14" s="17"/>
      <c r="N14" s="17"/>
      <c r="O14" s="17"/>
      <c r="P14" s="17"/>
      <c r="Q14" s="17"/>
      <c r="R14" s="17"/>
      <c r="S14" s="11"/>
    </row>
    <row r="15" ht="31.8" customHeight="1" spans="1:19" x14ac:dyDescent="0.25">
      <c r="B15" s="45"/>
      <c r="C15" s="46"/>
      <c r="D15" s="46"/>
      <c r="E15" s="46"/>
      <c r="F15" s="46"/>
      <c r="G15" s="46"/>
      <c r="H15" s="46"/>
      <c r="I15" s="46"/>
      <c r="J15" s="46"/>
      <c r="K15" s="46"/>
      <c r="L15" s="17"/>
      <c r="M15" s="17"/>
      <c r="N15" s="17"/>
      <c r="O15" s="17"/>
      <c r="P15" s="17"/>
      <c r="Q15" s="17"/>
      <c r="R15" s="17"/>
      <c r="S15" s="11"/>
    </row>
    <row r="16" ht="31.8" customHeight="1" spans="1:19" x14ac:dyDescent="0.25"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17"/>
      <c r="M16" s="17"/>
      <c r="N16" s="17"/>
      <c r="O16" s="17"/>
      <c r="P16" s="17"/>
      <c r="Q16" s="17"/>
      <c r="R16" s="17"/>
      <c r="S16" s="11"/>
    </row>
    <row r="17" ht="160" customHeight="1" spans="1:19" x14ac:dyDescent="0.25">
      <c r="B17" s="75">
        <v>54</v>
      </c>
      <c r="C17" s="76">
        <v>53</v>
      </c>
      <c r="D17" s="76" t="s">
        <v>176</v>
      </c>
      <c r="E17" s="76" t="s">
        <v>177</v>
      </c>
      <c r="F17" s="76" t="s">
        <v>178</v>
      </c>
      <c r="G17" s="77"/>
      <c r="H17" s="77"/>
      <c r="I17" s="77"/>
      <c r="J17" s="77"/>
      <c r="K17" s="77"/>
      <c r="L17" s="55"/>
      <c r="M17" s="55"/>
      <c r="N17" s="55"/>
      <c r="O17" s="55"/>
      <c r="P17" s="55"/>
      <c r="Q17" s="55"/>
      <c r="R17" s="55"/>
      <c r="S17" s="15"/>
    </row>
    <row r="20" spans="1:1" x14ac:dyDescent="0.25">
      <c r="A20" s="30" t="s">
        <v>45</v>
      </c>
    </row>
    <row r="21" ht="16" customHeight="1" spans="1:4" x14ac:dyDescent="0.25">
      <c r="A21" s="31" t="s">
        <v>46</v>
      </c>
      <c r="B21" s="31" t="s">
        <v>47</v>
      </c>
      <c r="C21" s="31" t="s">
        <v>48</v>
      </c>
      <c r="D21" s="31" t="s">
        <v>49</v>
      </c>
    </row>
    <row r="22" ht="15" customHeight="1" spans="1:4" s="32" customFormat="1" x14ac:dyDescent="0.25">
      <c r="A22" s="32" t="s">
        <v>179</v>
      </c>
      <c r="B22" s="32" t="s">
        <v>180</v>
      </c>
      <c r="C22" s="32" t="s">
        <v>181</v>
      </c>
      <c r="D22" s="32">
        <v>0</v>
      </c>
    </row>
    <row r="23" ht="15" customHeight="1" spans="1:4" s="33" customFormat="1" x14ac:dyDescent="0.25">
      <c r="A23" s="33" t="s">
        <v>182</v>
      </c>
      <c r="B23" s="33" t="s">
        <v>183</v>
      </c>
      <c r="C23" s="33" t="s">
        <v>184</v>
      </c>
      <c r="D23" s="33">
        <v>0</v>
      </c>
    </row>
    <row r="24" ht="15" customHeight="1" spans="1:4" s="32" customFormat="1" x14ac:dyDescent="0.25">
      <c r="A24" s="32" t="s">
        <v>185</v>
      </c>
      <c r="B24" s="32" t="s">
        <v>186</v>
      </c>
      <c r="C24" s="32" t="s">
        <v>184</v>
      </c>
      <c r="D24" s="32">
        <v>0</v>
      </c>
    </row>
    <row r="25" ht="15" customHeight="1" spans="1:4" s="33" customFormat="1" x14ac:dyDescent="0.25">
      <c r="A25" s="33" t="s">
        <v>187</v>
      </c>
      <c r="B25" s="33" t="s">
        <v>188</v>
      </c>
      <c r="C25" s="33" t="s">
        <v>184</v>
      </c>
      <c r="D25" s="33">
        <v>0</v>
      </c>
    </row>
    <row r="26" ht="15" customHeight="1" spans="1:4" s="32" customFormat="1" x14ac:dyDescent="0.25">
      <c r="A26" s="32" t="s">
        <v>189</v>
      </c>
      <c r="B26" s="32" t="s">
        <v>190</v>
      </c>
      <c r="C26" s="32" t="s">
        <v>184</v>
      </c>
      <c r="D26" s="32">
        <v>0</v>
      </c>
    </row>
    <row r="27" ht="15" customHeight="1" spans="1:4" s="33" customFormat="1" x14ac:dyDescent="0.25">
      <c r="A27" s="33" t="s">
        <v>191</v>
      </c>
      <c r="B27" s="33" t="s">
        <v>192</v>
      </c>
      <c r="C27" s="33" t="s">
        <v>184</v>
      </c>
      <c r="D27" s="33">
        <v>0</v>
      </c>
    </row>
    <row r="28" ht="15" customHeight="1" spans="1:4" s="32" customFormat="1" x14ac:dyDescent="0.25">
      <c r="A28" s="32" t="s">
        <v>193</v>
      </c>
      <c r="B28" s="32" t="s">
        <v>194</v>
      </c>
      <c r="C28" s="32" t="s">
        <v>184</v>
      </c>
      <c r="D28" s="32">
        <v>0</v>
      </c>
    </row>
    <row r="29" ht="15" customHeight="1" spans="1:4" s="33" customFormat="1" x14ac:dyDescent="0.25">
      <c r="A29" s="33" t="s">
        <v>195</v>
      </c>
      <c r="B29" s="33" t="s">
        <v>196</v>
      </c>
      <c r="C29" s="33" t="s">
        <v>184</v>
      </c>
      <c r="D29" s="33">
        <v>0</v>
      </c>
    </row>
    <row r="30" ht="15" customHeight="1" spans="1:4" s="32" customFormat="1" x14ac:dyDescent="0.25">
      <c r="A30" s="32" t="s">
        <v>197</v>
      </c>
      <c r="B30" s="32" t="s">
        <v>198</v>
      </c>
      <c r="C30" s="32" t="s">
        <v>184</v>
      </c>
      <c r="D30" s="32">
        <v>0</v>
      </c>
    </row>
    <row r="31" ht="15" customHeight="1" spans="1:4" s="33" customFormat="1" x14ac:dyDescent="0.25">
      <c r="A31" s="33" t="s">
        <v>199</v>
      </c>
      <c r="B31" s="33" t="s">
        <v>200</v>
      </c>
      <c r="C31" s="33" t="s">
        <v>201</v>
      </c>
      <c r="D31" s="33">
        <v>0</v>
      </c>
    </row>
    <row r="32" ht="15" customHeight="1" spans="1:4" s="32" customFormat="1" x14ac:dyDescent="0.25">
      <c r="A32" s="32" t="s">
        <v>202</v>
      </c>
      <c r="B32" s="32" t="s">
        <v>203</v>
      </c>
      <c r="C32" s="32" t="s">
        <v>204</v>
      </c>
      <c r="D32" s="32">
        <v>0</v>
      </c>
    </row>
    <row r="33" ht="15" customHeight="1" spans="1:4" s="33" customFormat="1" x14ac:dyDescent="0.25">
      <c r="A33" s="33" t="s">
        <v>205</v>
      </c>
      <c r="B33" s="33" t="s">
        <v>206</v>
      </c>
      <c r="C33" s="33" t="s">
        <v>204</v>
      </c>
      <c r="D33" s="33">
        <v>0</v>
      </c>
    </row>
    <row r="34" ht="15" customHeight="1" spans="1:4" s="32" customFormat="1" x14ac:dyDescent="0.25">
      <c r="A34" s="32" t="s">
        <v>207</v>
      </c>
      <c r="B34" s="32" t="s">
        <v>208</v>
      </c>
      <c r="C34" s="32" t="s">
        <v>204</v>
      </c>
      <c r="D34" s="32">
        <v>0</v>
      </c>
    </row>
    <row r="35" ht="15" customHeight="1" spans="1:4" s="33" customFormat="1" x14ac:dyDescent="0.25">
      <c r="A35" s="33" t="s">
        <v>209</v>
      </c>
      <c r="B35" s="33" t="s">
        <v>210</v>
      </c>
      <c r="C35" s="33" t="s">
        <v>204</v>
      </c>
      <c r="D35" s="33">
        <v>0</v>
      </c>
    </row>
    <row r="36" ht="15" customHeight="1" spans="1:4" s="32" customFormat="1" x14ac:dyDescent="0.25">
      <c r="A36" s="32" t="s">
        <v>211</v>
      </c>
      <c r="B36" s="32" t="s">
        <v>212</v>
      </c>
      <c r="C36" s="32" t="s">
        <v>204</v>
      </c>
      <c r="D36" s="32">
        <v>0</v>
      </c>
    </row>
    <row r="37" ht="15" customHeight="1" spans="1:4" s="33" customFormat="1" x14ac:dyDescent="0.25">
      <c r="A37" s="33" t="s">
        <v>213</v>
      </c>
      <c r="B37" s="33" t="s">
        <v>214</v>
      </c>
      <c r="C37" s="33" t="s">
        <v>204</v>
      </c>
      <c r="D37" s="33">
        <v>0</v>
      </c>
    </row>
  </sheetData>
  <mergeCells count="3">
    <mergeCell ref="A1:T1"/>
    <mergeCell ref="A6:A8"/>
    <mergeCell ref="T11:T13"/>
  </mergeCells>
  <pageMargins left="0.7" right="0.7" top="0.75" bottom="0.75" header="0.3" footer="0.3"/>
  <pageSetup paperSize="9" orientation="portrait" horizontalDpi="4294967295" verticalDpi="4294967295" scale="52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5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78" customFormat="1" x14ac:dyDescent="0.25">
      <c r="A1" s="78" t="s">
        <v>215</v>
      </c>
      <c r="B1" s="78" t="s">
        <v>46</v>
      </c>
      <c r="C1" s="78" t="s">
        <v>47</v>
      </c>
      <c r="D1" s="78" t="s">
        <v>48</v>
      </c>
      <c r="E1" s="78" t="s">
        <v>216</v>
      </c>
      <c r="F1" s="78" t="s">
        <v>49</v>
      </c>
    </row>
    <row r="2" ht="16" customHeight="1" spans="1:6" s="32" customFormat="1" x14ac:dyDescent="0.25">
      <c r="A2" s="32">
        <v>1</v>
      </c>
      <c r="B2" s="32" t="s">
        <v>217</v>
      </c>
      <c r="C2" s="32" t="s">
        <v>218</v>
      </c>
      <c r="D2" s="32" t="s">
        <v>219</v>
      </c>
      <c r="E2" s="32" t="s">
        <v>220</v>
      </c>
      <c r="F2" s="32" t="s">
        <v>221</v>
      </c>
    </row>
    <row r="3" ht="16" customHeight="1" spans="1:6" s="79" customFormat="1" x14ac:dyDescent="0.25">
      <c r="A3" s="79">
        <v>2</v>
      </c>
      <c r="B3" s="79" t="s">
        <v>222</v>
      </c>
      <c r="C3" s="79" t="s">
        <v>223</v>
      </c>
      <c r="D3" s="79" t="s">
        <v>181</v>
      </c>
      <c r="E3" s="79" t="s">
        <v>224</v>
      </c>
      <c r="F3" s="79" t="s">
        <v>221</v>
      </c>
    </row>
    <row r="4" ht="16" customHeight="1" spans="1:6" s="80" customFormat="1" x14ac:dyDescent="0.25">
      <c r="A4" s="80">
        <v>3</v>
      </c>
      <c r="B4" s="80" t="s">
        <v>179</v>
      </c>
      <c r="C4" s="80" t="s">
        <v>180</v>
      </c>
      <c r="D4" s="80" t="s">
        <v>181</v>
      </c>
      <c r="E4" s="80" t="s">
        <v>224</v>
      </c>
      <c r="F4" s="81" t="s">
        <v>45</v>
      </c>
    </row>
    <row r="5" ht="16" customHeight="1" spans="1:6" s="79" customFormat="1" x14ac:dyDescent="0.25">
      <c r="A5" s="79">
        <v>4</v>
      </c>
      <c r="B5" s="79" t="s">
        <v>225</v>
      </c>
      <c r="C5" s="79" t="s">
        <v>226</v>
      </c>
      <c r="D5" s="79" t="s">
        <v>227</v>
      </c>
      <c r="E5" s="79" t="s">
        <v>220</v>
      </c>
      <c r="F5" s="79" t="s">
        <v>221</v>
      </c>
    </row>
    <row r="6" ht="16" customHeight="1" spans="1:6" s="32" customFormat="1" x14ac:dyDescent="0.25">
      <c r="A6" s="32">
        <v>5</v>
      </c>
      <c r="B6" s="32" t="s">
        <v>228</v>
      </c>
      <c r="C6" s="32" t="s">
        <v>229</v>
      </c>
      <c r="D6" s="32" t="s">
        <v>227</v>
      </c>
      <c r="E6" s="32" t="s">
        <v>220</v>
      </c>
      <c r="F6" s="32" t="s">
        <v>221</v>
      </c>
    </row>
    <row r="7" ht="16" customHeight="1" spans="1:6" s="79" customFormat="1" x14ac:dyDescent="0.25">
      <c r="A7" s="79">
        <v>6</v>
      </c>
      <c r="B7" s="79" t="s">
        <v>230</v>
      </c>
      <c r="C7" s="79" t="s">
        <v>231</v>
      </c>
      <c r="D7" s="79" t="s">
        <v>227</v>
      </c>
      <c r="E7" s="79" t="s">
        <v>220</v>
      </c>
      <c r="F7" s="79" t="s">
        <v>221</v>
      </c>
    </row>
    <row r="8" ht="16" customHeight="1" spans="1:6" s="32" customFormat="1" x14ac:dyDescent="0.25">
      <c r="A8" s="32">
        <v>7</v>
      </c>
      <c r="B8" s="32" t="s">
        <v>232</v>
      </c>
      <c r="C8" s="32" t="s">
        <v>233</v>
      </c>
      <c r="D8" s="32" t="s">
        <v>227</v>
      </c>
      <c r="E8" s="32" t="s">
        <v>220</v>
      </c>
      <c r="F8" s="32" t="s">
        <v>221</v>
      </c>
    </row>
    <row r="9" ht="16" customHeight="1" spans="1:6" s="79" customFormat="1" x14ac:dyDescent="0.25">
      <c r="A9" s="79">
        <v>8</v>
      </c>
      <c r="B9" s="79" t="s">
        <v>234</v>
      </c>
      <c r="C9" s="79" t="s">
        <v>235</v>
      </c>
      <c r="D9" s="79" t="s">
        <v>227</v>
      </c>
      <c r="E9" s="79" t="s">
        <v>236</v>
      </c>
      <c r="F9" s="79" t="s">
        <v>221</v>
      </c>
    </row>
    <row r="10" ht="16" customHeight="1" spans="1:6" s="32" customFormat="1" x14ac:dyDescent="0.25">
      <c r="A10" s="32">
        <v>9</v>
      </c>
      <c r="B10" s="32" t="s">
        <v>237</v>
      </c>
      <c r="C10" s="32" t="s">
        <v>238</v>
      </c>
      <c r="D10" s="32" t="s">
        <v>239</v>
      </c>
      <c r="E10" s="32" t="s">
        <v>240</v>
      </c>
      <c r="F10" s="32" t="s">
        <v>221</v>
      </c>
    </row>
    <row r="11" ht="16" customHeight="1" spans="1:6" s="79" customFormat="1" x14ac:dyDescent="0.25">
      <c r="A11" s="79">
        <v>10</v>
      </c>
      <c r="B11" s="79" t="s">
        <v>241</v>
      </c>
      <c r="C11" s="79" t="s">
        <v>242</v>
      </c>
      <c r="D11" s="79" t="s">
        <v>239</v>
      </c>
      <c r="E11" s="79" t="s">
        <v>240</v>
      </c>
      <c r="F11" s="79" t="s">
        <v>221</v>
      </c>
    </row>
    <row r="12" ht="16" customHeight="1" spans="1:6" s="32" customFormat="1" x14ac:dyDescent="0.25">
      <c r="A12" s="32">
        <v>11</v>
      </c>
      <c r="B12" s="32" t="s">
        <v>243</v>
      </c>
      <c r="C12" s="32" t="s">
        <v>244</v>
      </c>
      <c r="D12" s="32" t="s">
        <v>239</v>
      </c>
      <c r="E12" s="32" t="s">
        <v>245</v>
      </c>
      <c r="F12" s="32" t="s">
        <v>221</v>
      </c>
    </row>
    <row r="13" ht="16" customHeight="1" spans="1:6" s="79" customFormat="1" x14ac:dyDescent="0.25">
      <c r="A13" s="79">
        <v>12</v>
      </c>
      <c r="B13" s="79" t="s">
        <v>246</v>
      </c>
      <c r="C13" s="79" t="s">
        <v>247</v>
      </c>
      <c r="D13" s="79" t="s">
        <v>239</v>
      </c>
      <c r="E13" s="79" t="s">
        <v>240</v>
      </c>
      <c r="F13" s="79" t="s">
        <v>221</v>
      </c>
    </row>
    <row r="14" ht="16" customHeight="1" spans="1:6" s="32" customFormat="1" x14ac:dyDescent="0.25">
      <c r="A14" s="32">
        <v>13</v>
      </c>
      <c r="B14" s="32" t="s">
        <v>248</v>
      </c>
      <c r="C14" s="32" t="s">
        <v>249</v>
      </c>
      <c r="D14" s="32" t="s">
        <v>239</v>
      </c>
      <c r="E14" s="32" t="s">
        <v>240</v>
      </c>
      <c r="F14" s="32" t="s">
        <v>221</v>
      </c>
    </row>
    <row r="15" ht="16" customHeight="1" spans="1:6" s="79" customFormat="1" x14ac:dyDescent="0.25">
      <c r="A15" s="79">
        <v>14</v>
      </c>
      <c r="B15" s="79" t="s">
        <v>250</v>
      </c>
      <c r="C15" s="79" t="s">
        <v>251</v>
      </c>
      <c r="D15" s="79" t="s">
        <v>252</v>
      </c>
      <c r="E15" s="79" t="s">
        <v>253</v>
      </c>
      <c r="F15" s="79" t="s">
        <v>221</v>
      </c>
    </row>
    <row r="16" ht="16" customHeight="1" spans="1:6" s="32" customFormat="1" x14ac:dyDescent="0.25">
      <c r="A16" s="32">
        <v>15</v>
      </c>
      <c r="B16" s="32" t="s">
        <v>254</v>
      </c>
      <c r="C16" s="32" t="s">
        <v>255</v>
      </c>
      <c r="D16" s="32" t="s">
        <v>252</v>
      </c>
      <c r="E16" s="32" t="s">
        <v>253</v>
      </c>
      <c r="F16" s="32" t="s">
        <v>221</v>
      </c>
    </row>
    <row r="17" ht="16" customHeight="1" spans="1:6" s="79" customFormat="1" x14ac:dyDescent="0.25">
      <c r="A17" s="79">
        <v>16</v>
      </c>
      <c r="B17" s="79" t="s">
        <v>256</v>
      </c>
      <c r="C17" s="79" t="s">
        <v>257</v>
      </c>
      <c r="D17" s="79" t="s">
        <v>252</v>
      </c>
      <c r="E17" s="79" t="s">
        <v>253</v>
      </c>
      <c r="F17" s="79" t="s">
        <v>221</v>
      </c>
    </row>
    <row r="18" ht="16" customHeight="1" spans="1:6" s="32" customFormat="1" x14ac:dyDescent="0.25">
      <c r="A18" s="32">
        <v>17</v>
      </c>
      <c r="B18" s="32" t="s">
        <v>258</v>
      </c>
      <c r="C18" s="32" t="s">
        <v>259</v>
      </c>
      <c r="D18" s="32" t="s">
        <v>252</v>
      </c>
      <c r="E18" s="32" t="s">
        <v>253</v>
      </c>
      <c r="F18" s="32" t="s">
        <v>221</v>
      </c>
    </row>
    <row r="19" ht="16" customHeight="1" spans="1:6" s="79" customFormat="1" x14ac:dyDescent="0.25">
      <c r="A19" s="79">
        <v>18</v>
      </c>
      <c r="B19" s="79" t="s">
        <v>260</v>
      </c>
      <c r="C19" s="79" t="s">
        <v>261</v>
      </c>
      <c r="D19" s="79" t="s">
        <v>252</v>
      </c>
      <c r="E19" s="79" t="s">
        <v>253</v>
      </c>
      <c r="F19" s="79" t="s">
        <v>221</v>
      </c>
    </row>
    <row r="20" ht="16" customHeight="1" spans="1:6" s="32" customFormat="1" x14ac:dyDescent="0.25">
      <c r="A20" s="32">
        <v>19</v>
      </c>
      <c r="B20" s="32" t="s">
        <v>262</v>
      </c>
      <c r="C20" s="32" t="s">
        <v>263</v>
      </c>
      <c r="D20" s="32" t="s">
        <v>264</v>
      </c>
      <c r="E20" s="32" t="s">
        <v>265</v>
      </c>
      <c r="F20" s="32" t="s">
        <v>221</v>
      </c>
    </row>
    <row r="21" ht="16" customHeight="1" spans="1:6" s="79" customFormat="1" x14ac:dyDescent="0.25">
      <c r="A21" s="79">
        <v>20</v>
      </c>
      <c r="B21" s="79" t="s">
        <v>266</v>
      </c>
      <c r="C21" s="79" t="s">
        <v>267</v>
      </c>
      <c r="D21" s="79" t="s">
        <v>264</v>
      </c>
      <c r="E21" s="79" t="s">
        <v>265</v>
      </c>
      <c r="F21" s="79" t="s">
        <v>221</v>
      </c>
    </row>
    <row r="22" ht="16" customHeight="1" spans="1:6" s="32" customFormat="1" x14ac:dyDescent="0.25">
      <c r="A22" s="32">
        <v>21</v>
      </c>
      <c r="B22" s="32" t="s">
        <v>268</v>
      </c>
      <c r="C22" s="32" t="s">
        <v>269</v>
      </c>
      <c r="D22" s="32" t="s">
        <v>264</v>
      </c>
      <c r="E22" s="32" t="s">
        <v>265</v>
      </c>
      <c r="F22" s="32" t="s">
        <v>221</v>
      </c>
    </row>
    <row r="23" ht="16" customHeight="1" spans="1:6" s="79" customFormat="1" x14ac:dyDescent="0.25">
      <c r="A23" s="79">
        <v>22</v>
      </c>
      <c r="B23" s="79" t="s">
        <v>270</v>
      </c>
      <c r="C23" s="79" t="s">
        <v>271</v>
      </c>
      <c r="D23" s="79" t="s">
        <v>272</v>
      </c>
      <c r="E23" s="79" t="s">
        <v>273</v>
      </c>
      <c r="F23" s="79" t="s">
        <v>221</v>
      </c>
    </row>
    <row r="24" ht="16" customHeight="1" spans="1:6" s="32" customFormat="1" x14ac:dyDescent="0.25">
      <c r="A24" s="32">
        <v>23</v>
      </c>
      <c r="B24" s="32" t="s">
        <v>274</v>
      </c>
      <c r="C24" s="32" t="s">
        <v>275</v>
      </c>
      <c r="D24" s="32" t="s">
        <v>201</v>
      </c>
      <c r="E24" s="32" t="s">
        <v>276</v>
      </c>
      <c r="F24" s="32" t="s">
        <v>221</v>
      </c>
    </row>
    <row r="25" ht="16" customHeight="1" spans="1:6" s="79" customFormat="1" x14ac:dyDescent="0.25">
      <c r="A25" s="79">
        <v>24</v>
      </c>
      <c r="B25" s="79" t="s">
        <v>277</v>
      </c>
      <c r="C25" s="79" t="s">
        <v>278</v>
      </c>
      <c r="D25" s="79" t="s">
        <v>201</v>
      </c>
      <c r="E25" s="79" t="s">
        <v>276</v>
      </c>
      <c r="F25" s="79" t="s">
        <v>221</v>
      </c>
    </row>
    <row r="26" ht="16" customHeight="1" spans="1:6" s="80" customFormat="1" x14ac:dyDescent="0.25">
      <c r="A26" s="80">
        <v>25</v>
      </c>
      <c r="B26" s="80" t="s">
        <v>182</v>
      </c>
      <c r="C26" s="80" t="s">
        <v>183</v>
      </c>
      <c r="D26" s="80" t="s">
        <v>184</v>
      </c>
      <c r="E26" s="80" t="s">
        <v>279</v>
      </c>
      <c r="F26" s="81" t="s">
        <v>45</v>
      </c>
    </row>
    <row r="27" ht="16" customHeight="1" spans="1:6" s="80" customFormat="1" x14ac:dyDescent="0.25">
      <c r="A27" s="80">
        <v>26</v>
      </c>
      <c r="B27" s="80" t="s">
        <v>185</v>
      </c>
      <c r="C27" s="80" t="s">
        <v>186</v>
      </c>
      <c r="D27" s="80" t="s">
        <v>184</v>
      </c>
      <c r="E27" s="80" t="s">
        <v>279</v>
      </c>
      <c r="F27" s="81" t="s">
        <v>45</v>
      </c>
    </row>
    <row r="28" ht="16" customHeight="1" spans="1:6" s="80" customFormat="1" x14ac:dyDescent="0.25">
      <c r="A28" s="80">
        <v>27</v>
      </c>
      <c r="B28" s="80" t="s">
        <v>187</v>
      </c>
      <c r="C28" s="80" t="s">
        <v>188</v>
      </c>
      <c r="D28" s="80" t="s">
        <v>184</v>
      </c>
      <c r="E28" s="80" t="s">
        <v>280</v>
      </c>
      <c r="F28" s="81" t="s">
        <v>45</v>
      </c>
    </row>
    <row r="29" ht="16" customHeight="1" spans="1:6" s="80" customFormat="1" x14ac:dyDescent="0.25">
      <c r="A29" s="80">
        <v>28</v>
      </c>
      <c r="B29" s="80" t="s">
        <v>189</v>
      </c>
      <c r="C29" s="80" t="s">
        <v>190</v>
      </c>
      <c r="D29" s="80" t="s">
        <v>184</v>
      </c>
      <c r="E29" s="80" t="s">
        <v>280</v>
      </c>
      <c r="F29" s="81" t="s">
        <v>45</v>
      </c>
    </row>
    <row r="30" ht="16" customHeight="1" spans="1:6" s="80" customFormat="1" x14ac:dyDescent="0.25">
      <c r="A30" s="80">
        <v>29</v>
      </c>
      <c r="B30" s="80" t="s">
        <v>191</v>
      </c>
      <c r="C30" s="80" t="s">
        <v>192</v>
      </c>
      <c r="D30" s="80" t="s">
        <v>184</v>
      </c>
      <c r="E30" s="80" t="s">
        <v>280</v>
      </c>
      <c r="F30" s="81" t="s">
        <v>45</v>
      </c>
    </row>
    <row r="31" ht="16" customHeight="1" spans="1:6" s="80" customFormat="1" x14ac:dyDescent="0.25">
      <c r="A31" s="80">
        <v>30</v>
      </c>
      <c r="B31" s="80" t="s">
        <v>193</v>
      </c>
      <c r="C31" s="80" t="s">
        <v>194</v>
      </c>
      <c r="D31" s="80" t="s">
        <v>184</v>
      </c>
      <c r="E31" s="80" t="s">
        <v>279</v>
      </c>
      <c r="F31" s="81" t="s">
        <v>45</v>
      </c>
    </row>
    <row r="32" ht="16" customHeight="1" spans="1:6" s="80" customFormat="1" x14ac:dyDescent="0.25">
      <c r="A32" s="80">
        <v>31</v>
      </c>
      <c r="B32" s="80" t="s">
        <v>195</v>
      </c>
      <c r="C32" s="80" t="s">
        <v>196</v>
      </c>
      <c r="D32" s="80" t="s">
        <v>184</v>
      </c>
      <c r="E32" s="80" t="s">
        <v>279</v>
      </c>
      <c r="F32" s="81" t="s">
        <v>45</v>
      </c>
    </row>
    <row r="33" ht="16" customHeight="1" spans="1:6" s="80" customFormat="1" x14ac:dyDescent="0.25">
      <c r="A33" s="80">
        <v>32</v>
      </c>
      <c r="B33" s="80" t="s">
        <v>197</v>
      </c>
      <c r="C33" s="80" t="s">
        <v>198</v>
      </c>
      <c r="D33" s="80" t="s">
        <v>184</v>
      </c>
      <c r="E33" s="80" t="s">
        <v>280</v>
      </c>
      <c r="F33" s="81" t="s">
        <v>45</v>
      </c>
    </row>
    <row r="34" ht="16" customHeight="1" spans="1:6" s="32" customFormat="1" x14ac:dyDescent="0.25">
      <c r="A34" s="32">
        <v>33</v>
      </c>
      <c r="B34" s="32" t="s">
        <v>281</v>
      </c>
      <c r="C34" s="32" t="s">
        <v>282</v>
      </c>
      <c r="D34" s="32" t="s">
        <v>283</v>
      </c>
      <c r="E34" s="32" t="s">
        <v>284</v>
      </c>
      <c r="F34" s="32" t="s">
        <v>221</v>
      </c>
    </row>
    <row r="35" ht="16" customHeight="1" spans="1:6" s="79" customFormat="1" x14ac:dyDescent="0.25">
      <c r="A35" s="79">
        <v>34</v>
      </c>
      <c r="B35" s="79" t="s">
        <v>285</v>
      </c>
      <c r="C35" s="79" t="s">
        <v>286</v>
      </c>
      <c r="D35" s="79" t="s">
        <v>283</v>
      </c>
      <c r="E35" s="79" t="s">
        <v>284</v>
      </c>
      <c r="F35" s="79" t="s">
        <v>221</v>
      </c>
    </row>
    <row r="36" ht="16" customHeight="1" spans="1:6" s="32" customFormat="1" x14ac:dyDescent="0.25">
      <c r="A36" s="32">
        <v>35</v>
      </c>
      <c r="B36" s="32" t="s">
        <v>287</v>
      </c>
      <c r="C36" s="32" t="s">
        <v>288</v>
      </c>
      <c r="D36" s="32" t="s">
        <v>283</v>
      </c>
      <c r="E36" s="32" t="s">
        <v>289</v>
      </c>
      <c r="F36" s="32" t="s">
        <v>221</v>
      </c>
    </row>
    <row r="37" ht="16" customHeight="1" spans="1:6" s="79" customFormat="1" x14ac:dyDescent="0.25">
      <c r="A37" s="79">
        <v>36</v>
      </c>
      <c r="B37" s="79" t="s">
        <v>290</v>
      </c>
      <c r="C37" s="79" t="s">
        <v>291</v>
      </c>
      <c r="D37" s="79" t="s">
        <v>283</v>
      </c>
      <c r="E37" s="79" t="s">
        <v>292</v>
      </c>
      <c r="F37" s="79" t="s">
        <v>221</v>
      </c>
    </row>
    <row r="38" ht="16" customHeight="1" spans="1:6" s="32" customFormat="1" x14ac:dyDescent="0.25">
      <c r="A38" s="32">
        <v>37</v>
      </c>
      <c r="B38" s="32" t="s">
        <v>293</v>
      </c>
      <c r="C38" s="32" t="s">
        <v>294</v>
      </c>
      <c r="D38" s="32" t="s">
        <v>283</v>
      </c>
      <c r="E38" s="32" t="s">
        <v>253</v>
      </c>
      <c r="F38" s="32" t="s">
        <v>221</v>
      </c>
    </row>
    <row r="39" ht="16" customHeight="1" spans="1:6" s="79" customFormat="1" x14ac:dyDescent="0.25">
      <c r="A39" s="79">
        <v>38</v>
      </c>
      <c r="B39" s="79" t="s">
        <v>295</v>
      </c>
      <c r="C39" s="79" t="s">
        <v>296</v>
      </c>
      <c r="D39" s="79" t="s">
        <v>283</v>
      </c>
      <c r="E39" s="79" t="s">
        <v>253</v>
      </c>
      <c r="F39" s="79" t="s">
        <v>221</v>
      </c>
    </row>
    <row r="40" ht="16" customHeight="1" spans="1:6" s="32" customFormat="1" x14ac:dyDescent="0.25">
      <c r="A40" s="32">
        <v>39</v>
      </c>
      <c r="B40" s="32" t="s">
        <v>297</v>
      </c>
      <c r="C40" s="32" t="s">
        <v>298</v>
      </c>
      <c r="D40" s="32" t="s">
        <v>299</v>
      </c>
      <c r="E40" s="32" t="s">
        <v>220</v>
      </c>
      <c r="F40" s="32" t="s">
        <v>221</v>
      </c>
    </row>
    <row r="41" ht="16" customHeight="1" spans="1:6" s="79" customFormat="1" x14ac:dyDescent="0.25">
      <c r="A41" s="79">
        <v>40</v>
      </c>
      <c r="B41" s="79" t="s">
        <v>300</v>
      </c>
      <c r="C41" s="79" t="s">
        <v>301</v>
      </c>
      <c r="D41" s="79" t="s">
        <v>299</v>
      </c>
      <c r="E41" s="79" t="s">
        <v>220</v>
      </c>
      <c r="F41" s="79" t="s">
        <v>221</v>
      </c>
    </row>
    <row r="42" ht="16" customHeight="1" spans="1:6" s="32" customFormat="1" x14ac:dyDescent="0.25">
      <c r="A42" s="32">
        <v>41</v>
      </c>
      <c r="B42" s="32" t="s">
        <v>302</v>
      </c>
      <c r="C42" s="32" t="s">
        <v>303</v>
      </c>
      <c r="D42" s="32" t="s">
        <v>304</v>
      </c>
      <c r="E42" s="32" t="s">
        <v>305</v>
      </c>
      <c r="F42" s="32" t="s">
        <v>221</v>
      </c>
    </row>
    <row r="43" ht="16" customHeight="1" spans="1:6" s="79" customFormat="1" x14ac:dyDescent="0.25">
      <c r="A43" s="79">
        <v>42</v>
      </c>
      <c r="B43" s="79" t="s">
        <v>306</v>
      </c>
      <c r="C43" s="79" t="s">
        <v>307</v>
      </c>
      <c r="D43" s="79" t="s">
        <v>304</v>
      </c>
      <c r="E43" s="79" t="s">
        <v>305</v>
      </c>
      <c r="F43" s="79" t="s">
        <v>221</v>
      </c>
    </row>
    <row r="44" ht="16" customHeight="1" spans="1:6" s="32" customFormat="1" x14ac:dyDescent="0.25">
      <c r="A44" s="32">
        <v>43</v>
      </c>
      <c r="B44" s="32" t="s">
        <v>308</v>
      </c>
      <c r="C44" s="32" t="s">
        <v>309</v>
      </c>
      <c r="D44" s="32" t="s">
        <v>304</v>
      </c>
      <c r="E44" s="32" t="s">
        <v>305</v>
      </c>
      <c r="F44" s="32" t="s">
        <v>221</v>
      </c>
    </row>
    <row r="45" ht="16" customHeight="1" spans="1:6" s="79" customFormat="1" x14ac:dyDescent="0.25">
      <c r="A45" s="79">
        <v>44</v>
      </c>
      <c r="B45" s="79" t="s">
        <v>310</v>
      </c>
      <c r="C45" s="79" t="s">
        <v>311</v>
      </c>
      <c r="D45" s="79" t="s">
        <v>304</v>
      </c>
      <c r="E45" s="79" t="s">
        <v>305</v>
      </c>
      <c r="F45" s="79" t="s">
        <v>221</v>
      </c>
    </row>
    <row r="46" ht="16" customHeight="1" spans="1:6" s="80" customFormat="1" x14ac:dyDescent="0.25">
      <c r="A46" s="80">
        <v>45</v>
      </c>
      <c r="B46" s="80" t="s">
        <v>199</v>
      </c>
      <c r="C46" s="80" t="s">
        <v>200</v>
      </c>
      <c r="D46" s="80" t="s">
        <v>201</v>
      </c>
      <c r="E46" s="80" t="s">
        <v>312</v>
      </c>
      <c r="F46" s="81" t="s">
        <v>45</v>
      </c>
    </row>
    <row r="47" ht="16" customHeight="1" spans="1:6" s="80" customFormat="1" x14ac:dyDescent="0.25">
      <c r="A47" s="80">
        <v>46</v>
      </c>
      <c r="B47" s="80" t="s">
        <v>202</v>
      </c>
      <c r="C47" s="80" t="s">
        <v>203</v>
      </c>
      <c r="D47" s="80" t="s">
        <v>204</v>
      </c>
      <c r="E47" s="80" t="s">
        <v>313</v>
      </c>
      <c r="F47" s="81" t="s">
        <v>45</v>
      </c>
    </row>
    <row r="48" ht="16" customHeight="1" spans="1:6" s="80" customFormat="1" x14ac:dyDescent="0.25">
      <c r="A48" s="80">
        <v>47</v>
      </c>
      <c r="B48" s="80" t="s">
        <v>205</v>
      </c>
      <c r="C48" s="80" t="s">
        <v>206</v>
      </c>
      <c r="D48" s="80" t="s">
        <v>204</v>
      </c>
      <c r="E48" s="80" t="s">
        <v>313</v>
      </c>
      <c r="F48" s="81" t="s">
        <v>45</v>
      </c>
    </row>
    <row r="49" ht="16" customHeight="1" spans="1:6" s="80" customFormat="1" x14ac:dyDescent="0.25">
      <c r="A49" s="80">
        <v>48</v>
      </c>
      <c r="B49" s="80" t="s">
        <v>207</v>
      </c>
      <c r="C49" s="80" t="s">
        <v>208</v>
      </c>
      <c r="D49" s="80" t="s">
        <v>204</v>
      </c>
      <c r="E49" s="80" t="s">
        <v>313</v>
      </c>
      <c r="F49" s="81" t="s">
        <v>45</v>
      </c>
    </row>
    <row r="50" ht="16" customHeight="1" spans="1:6" s="80" customFormat="1" x14ac:dyDescent="0.25">
      <c r="A50" s="80">
        <v>49</v>
      </c>
      <c r="B50" s="80" t="s">
        <v>209</v>
      </c>
      <c r="C50" s="80" t="s">
        <v>210</v>
      </c>
      <c r="D50" s="80" t="s">
        <v>204</v>
      </c>
      <c r="E50" s="80" t="s">
        <v>313</v>
      </c>
      <c r="F50" s="81" t="s">
        <v>45</v>
      </c>
    </row>
    <row r="51" ht="16" customHeight="1" spans="1:6" s="79" customFormat="1" x14ac:dyDescent="0.25">
      <c r="A51" s="79">
        <v>50</v>
      </c>
      <c r="B51" s="79" t="s">
        <v>314</v>
      </c>
      <c r="C51" s="79" t="s">
        <v>315</v>
      </c>
      <c r="D51" s="79" t="s">
        <v>316</v>
      </c>
      <c r="E51" s="79" t="s">
        <v>317</v>
      </c>
      <c r="F51" s="79" t="s">
        <v>221</v>
      </c>
    </row>
    <row r="52" ht="16" customHeight="1" spans="1:6" s="32" customFormat="1" x14ac:dyDescent="0.25">
      <c r="A52" s="32">
        <v>51</v>
      </c>
      <c r="B52" s="32" t="s">
        <v>318</v>
      </c>
      <c r="C52" s="32" t="s">
        <v>319</v>
      </c>
      <c r="D52" s="32" t="s">
        <v>316</v>
      </c>
      <c r="E52" s="32" t="s">
        <v>317</v>
      </c>
      <c r="F52" s="32" t="s">
        <v>221</v>
      </c>
    </row>
    <row r="53" ht="16" customHeight="1" spans="1:6" s="79" customFormat="1" x14ac:dyDescent="0.25">
      <c r="A53" s="79">
        <v>52</v>
      </c>
      <c r="B53" s="79" t="s">
        <v>320</v>
      </c>
      <c r="C53" s="79" t="s">
        <v>321</v>
      </c>
      <c r="D53" s="79" t="s">
        <v>316</v>
      </c>
      <c r="E53" s="79" t="s">
        <v>317</v>
      </c>
      <c r="F53" s="79" t="s">
        <v>221</v>
      </c>
    </row>
    <row r="54" ht="16" customHeight="1" spans="1:6" s="80" customFormat="1" x14ac:dyDescent="0.25">
      <c r="A54" s="80">
        <v>53</v>
      </c>
      <c r="B54" s="80" t="s">
        <v>211</v>
      </c>
      <c r="C54" s="80" t="s">
        <v>212</v>
      </c>
      <c r="D54" s="80" t="s">
        <v>204</v>
      </c>
      <c r="E54" s="80" t="s">
        <v>322</v>
      </c>
      <c r="F54" s="81" t="s">
        <v>45</v>
      </c>
    </row>
    <row r="55" ht="16" customHeight="1" spans="1:6" s="80" customFormat="1" x14ac:dyDescent="0.25">
      <c r="A55" s="80">
        <v>54</v>
      </c>
      <c r="B55" s="80" t="s">
        <v>213</v>
      </c>
      <c r="C55" s="80" t="s">
        <v>214</v>
      </c>
      <c r="D55" s="80" t="s">
        <v>204</v>
      </c>
      <c r="E55" s="80" t="s">
        <v>313</v>
      </c>
      <c r="F55" s="81" t="s">
        <v>45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T23"/>
  <sheetViews>
    <sheetView workbookViewId="0" rightToLeft="1" zoomScale="85" zoomScaleNormal="100" view="pageBreakPreview">
      <pane ySplit="2" topLeftCell="A3" activePane="bottomLeft" state="frozen"/>
      <selection pane="bottomLeft" activeCell="C8" sqref="C8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3" width="22" customWidth="1"/>
    <col min="4" max="15" width="32" customWidth="1"/>
  </cols>
  <sheetData>
    <row r="1" ht="26" customHeight="1" spans="1:20" x14ac:dyDescent="0.25">
      <c r="A1" s="1" t="s">
        <v>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6" x14ac:dyDescent="0.25">
      <c r="A2" s="34">
        <f>HYPERLINK("#'MAHSAN חלבי'!D11","PRESIDENT")</f>
      </c>
      <c r="B2" s="35">
        <f>HYPERLINK("#'MAHSAN חלבי'!D10","SVALIA תנמש")</f>
      </c>
      <c r="C2" s="36">
        <f>HYPERLINK("#'MAHSAN חלבי'!M8","SVALIA גורובט")</f>
      </c>
      <c r="D2" s="37">
        <f>HYPERLINK("#'MAHSAN חלבי'!L7","SVALIA תוסורפ")</f>
      </c>
      <c r="F2" s="4" t="s">
        <v>1</v>
      </c>
    </row>
    <row r="3" ht="31.8" customHeight="1" spans="1:1" x14ac:dyDescent="0.25"/>
    <row r="4" ht="31.8" customHeight="1" spans="1:16" x14ac:dyDescent="0.25">
      <c r="B4" s="38" t="s">
        <v>84</v>
      </c>
      <c r="C4" s="38"/>
      <c r="D4" s="39"/>
      <c r="E4" s="39"/>
      <c r="F4" s="40"/>
      <c r="G4" s="40"/>
      <c r="H4" s="40"/>
      <c r="I4" s="40"/>
      <c r="J4" s="40"/>
      <c r="K4" s="40"/>
      <c r="L4" s="39"/>
      <c r="M4" s="39"/>
      <c r="N4" s="39"/>
      <c r="O4" s="39"/>
      <c r="P4" s="41"/>
    </row>
    <row r="5" ht="31.8" customHeight="1" spans="1:16" x14ac:dyDescent="0.25">
      <c r="B5" s="42"/>
      <c r="C5" s="42"/>
      <c r="D5" s="43"/>
      <c r="E5" s="43"/>
      <c r="F5" s="17"/>
      <c r="G5" s="17"/>
      <c r="H5" s="17"/>
      <c r="I5" s="17"/>
      <c r="J5" s="17"/>
      <c r="K5" s="17"/>
      <c r="L5" s="43"/>
      <c r="M5" s="43"/>
      <c r="N5" s="43"/>
      <c r="O5" s="43"/>
      <c r="P5" s="44"/>
    </row>
    <row r="6" ht="31.8" customHeight="1" spans="1:16" x14ac:dyDescent="0.25">
      <c r="B6" s="45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4"/>
    </row>
    <row r="7" ht="160" customHeight="1" spans="1:16" x14ac:dyDescent="0.25">
      <c r="B7" s="45"/>
      <c r="C7" s="46"/>
      <c r="D7" s="47" t="s">
        <v>85</v>
      </c>
      <c r="E7" s="47" t="s">
        <v>86</v>
      </c>
      <c r="F7" s="47" t="s">
        <v>87</v>
      </c>
      <c r="G7" s="47" t="s">
        <v>88</v>
      </c>
      <c r="H7" s="47" t="s">
        <v>89</v>
      </c>
      <c r="I7" s="47" t="s">
        <v>90</v>
      </c>
      <c r="J7" s="47" t="s">
        <v>91</v>
      </c>
      <c r="K7" s="47" t="s">
        <v>92</v>
      </c>
      <c r="L7" s="47" t="s">
        <v>93</v>
      </c>
      <c r="M7" s="47" t="s">
        <v>94</v>
      </c>
      <c r="N7" s="47">
        <v>38</v>
      </c>
      <c r="O7" s="47" t="s">
        <v>95</v>
      </c>
      <c r="P7" s="44"/>
    </row>
    <row r="8" ht="160" customHeight="1" spans="1:16" x14ac:dyDescent="0.25">
      <c r="B8" s="45"/>
      <c r="C8" s="46"/>
      <c r="D8" s="47">
        <v>25</v>
      </c>
      <c r="E8" s="47" t="s">
        <v>96</v>
      </c>
      <c r="F8" s="47" t="s">
        <v>97</v>
      </c>
      <c r="G8" s="47" t="s">
        <v>98</v>
      </c>
      <c r="H8" s="47" t="s">
        <v>99</v>
      </c>
      <c r="I8" s="47" t="s">
        <v>100</v>
      </c>
      <c r="J8" s="47" t="s">
        <v>101</v>
      </c>
      <c r="K8" s="47" t="s">
        <v>102</v>
      </c>
      <c r="L8" s="47" t="s">
        <v>103</v>
      </c>
      <c r="M8" s="47" t="s">
        <v>104</v>
      </c>
      <c r="N8" s="47">
        <v>35</v>
      </c>
      <c r="O8" s="47">
        <v>36</v>
      </c>
      <c r="P8" s="44"/>
    </row>
    <row r="9" ht="31.8" customHeight="1" spans="1:16" x14ac:dyDescent="0.25">
      <c r="B9" s="45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4"/>
    </row>
    <row r="10" ht="160" customHeight="1" spans="1:16" x14ac:dyDescent="0.25">
      <c r="B10" s="45"/>
      <c r="C10" s="46"/>
      <c r="D10" s="47" t="s">
        <v>105</v>
      </c>
      <c r="E10" s="47" t="s">
        <v>106</v>
      </c>
      <c r="F10" s="47" t="s">
        <v>107</v>
      </c>
      <c r="G10" s="47" t="s">
        <v>108</v>
      </c>
      <c r="H10" s="47" t="s">
        <v>109</v>
      </c>
      <c r="I10" s="47" t="s">
        <v>110</v>
      </c>
      <c r="J10" s="47" t="s">
        <v>111</v>
      </c>
      <c r="K10" s="47" t="s">
        <v>112</v>
      </c>
      <c r="L10" s="47" t="s">
        <v>113</v>
      </c>
      <c r="M10" s="47" t="s">
        <v>114</v>
      </c>
      <c r="N10" s="47" t="s">
        <v>115</v>
      </c>
      <c r="O10" s="47" t="s">
        <v>116</v>
      </c>
      <c r="P10" s="44"/>
    </row>
    <row r="11" ht="160" customHeight="1" spans="1:16" x14ac:dyDescent="0.25">
      <c r="B11" s="45"/>
      <c r="C11" s="46"/>
      <c r="D11" s="48" t="s">
        <v>117</v>
      </c>
      <c r="E11" s="48" t="s">
        <v>118</v>
      </c>
      <c r="F11" s="48" t="s">
        <v>119</v>
      </c>
      <c r="G11" s="48" t="s">
        <v>120</v>
      </c>
      <c r="H11" s="48" t="s">
        <v>121</v>
      </c>
      <c r="I11" s="48" t="s">
        <v>122</v>
      </c>
      <c r="J11" s="48" t="s">
        <v>123</v>
      </c>
      <c r="K11" s="48" t="s">
        <v>124</v>
      </c>
      <c r="L11" s="48" t="s">
        <v>125</v>
      </c>
      <c r="M11" s="47" t="s">
        <v>126</v>
      </c>
      <c r="N11" s="47" t="s">
        <v>127</v>
      </c>
      <c r="O11" s="47" t="s">
        <v>128</v>
      </c>
      <c r="P11" s="44"/>
    </row>
    <row r="12" ht="31.8" customHeight="1" spans="1:16" x14ac:dyDescent="0.25">
      <c r="B12" s="45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4"/>
    </row>
    <row r="13" ht="31.8" customHeight="1" spans="1:16" x14ac:dyDescent="0.25">
      <c r="B13" s="45"/>
      <c r="C13" s="46"/>
      <c r="D13" s="49" t="s">
        <v>129</v>
      </c>
      <c r="E13" s="49"/>
      <c r="F13" s="50"/>
      <c r="G13" s="50"/>
      <c r="H13" s="17"/>
      <c r="I13" s="17"/>
      <c r="J13" s="17"/>
      <c r="K13" s="17"/>
      <c r="L13" s="17"/>
      <c r="M13" s="17"/>
      <c r="N13" s="51"/>
      <c r="O13" s="51"/>
      <c r="P13" s="44"/>
    </row>
    <row r="14" ht="31.8" customHeight="1" spans="1:16" x14ac:dyDescent="0.25">
      <c r="B14" s="52"/>
      <c r="C14" s="52"/>
      <c r="D14" s="53"/>
      <c r="E14" s="53"/>
      <c r="F14" s="54"/>
      <c r="G14" s="54"/>
      <c r="H14" s="55"/>
      <c r="I14" s="55"/>
      <c r="J14" s="55"/>
      <c r="K14" s="55"/>
      <c r="L14" s="55"/>
      <c r="M14" s="55"/>
      <c r="N14" s="54"/>
      <c r="O14" s="54"/>
      <c r="P14" s="56"/>
    </row>
    <row r="15" ht="31.8" customHeight="1" spans="1:3" x14ac:dyDescent="0.25">
      <c r="B15" s="57" t="s">
        <v>24</v>
      </c>
      <c r="C15" s="57"/>
    </row>
    <row r="18" spans="1:1" x14ac:dyDescent="0.25">
      <c r="A18" s="30" t="s">
        <v>45</v>
      </c>
    </row>
    <row r="19" ht="16" customHeight="1" spans="1:4" x14ac:dyDescent="0.25">
      <c r="A19" s="31" t="s">
        <v>46</v>
      </c>
      <c r="B19" s="31" t="s">
        <v>47</v>
      </c>
      <c r="C19" s="31" t="s">
        <v>48</v>
      </c>
      <c r="D19" s="31" t="s">
        <v>49</v>
      </c>
    </row>
    <row r="20" ht="15" customHeight="1" spans="1:4" s="32" customFormat="1" x14ac:dyDescent="0.25">
      <c r="A20" s="32" t="s">
        <v>130</v>
      </c>
      <c r="B20" s="32" t="s">
        <v>131</v>
      </c>
      <c r="C20" s="32" t="s">
        <v>132</v>
      </c>
      <c r="D20" s="32">
        <v>0</v>
      </c>
    </row>
    <row r="21" ht="15" customHeight="1" spans="1:4" s="33" customFormat="1" x14ac:dyDescent="0.25">
      <c r="A21" s="33" t="s">
        <v>133</v>
      </c>
      <c r="B21" s="33" t="s">
        <v>134</v>
      </c>
      <c r="C21" s="33" t="s">
        <v>135</v>
      </c>
      <c r="D21" s="33">
        <v>0</v>
      </c>
    </row>
    <row r="22" ht="15" customHeight="1" spans="1:4" s="32" customFormat="1" x14ac:dyDescent="0.25">
      <c r="A22" s="32" t="s">
        <v>136</v>
      </c>
      <c r="B22" s="32" t="s">
        <v>137</v>
      </c>
      <c r="C22" s="32" t="s">
        <v>135</v>
      </c>
      <c r="D22" s="32">
        <v>0</v>
      </c>
    </row>
    <row r="23" ht="15" customHeight="1" spans="1:4" s="33" customFormat="1" x14ac:dyDescent="0.25">
      <c r="A23" s="33" t="s">
        <v>138</v>
      </c>
      <c r="B23" s="33" t="s">
        <v>139</v>
      </c>
      <c r="C23" s="33" t="s">
        <v>135</v>
      </c>
      <c r="D23" s="33">
        <v>0</v>
      </c>
    </row>
  </sheetData>
  <mergeCells count="17">
    <mergeCell ref="A1:T1"/>
    <mergeCell ref="B4:C4"/>
    <mergeCell ref="D4:E4"/>
    <mergeCell ref="L4:M4"/>
    <mergeCell ref="N4:O4"/>
    <mergeCell ref="B5:C5"/>
    <mergeCell ref="D5:E5"/>
    <mergeCell ref="L5:M5"/>
    <mergeCell ref="N5:O5"/>
    <mergeCell ref="D13:E13"/>
    <mergeCell ref="F13:G13"/>
    <mergeCell ref="N13:O13"/>
    <mergeCell ref="B14:C14"/>
    <mergeCell ref="D14:E14"/>
    <mergeCell ref="F14:G14"/>
    <mergeCell ref="N14:O14"/>
    <mergeCell ref="B15:C15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E36"/>
  <sheetViews>
    <sheetView workbookViewId="0" rightToLeft="1" zoomScale="70" zoomScaleNormal="70" view="pageBreakPreview">
      <pane ySplit="2" topLeftCell="A3" activePane="bottomLeft" state="frozen"/>
      <selection pane="bottomLeft" activeCell="E6" sqref="E6"/>
    </sheetView>
  </sheetViews>
  <sheetFormatPr defaultRowHeight="31.8" outlineLevelRow="0" outlineLevelCol="0" x14ac:dyDescent="0.25" defaultColWidth="7.59765625" customHeight="1"/>
  <cols>
    <col min="1" max="1" width="10" customWidth="1"/>
    <col min="2" max="2" width="38" customWidth="1"/>
    <col min="3" max="3" width="22" customWidth="1"/>
    <col min="4" max="4" width="12" customWidth="1"/>
    <col min="6" max="29" width="32" customWidth="1"/>
    <col min="31" max="31" width="4.296875" customWidth="1"/>
  </cols>
  <sheetData>
    <row r="1" ht="26" customHeight="1" spans="1:2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 spans="1:5" x14ac:dyDescent="0.25">
      <c r="A2" s="2">
        <f>HYPERLINK("#'MAHSAN דגים'!AC9","NORD PORT מצונן")</f>
      </c>
      <c r="B2" s="3">
        <f>HYPERLINK("#'MAHSAN דגים'!AC12","SANTA BREMOR Fish")</f>
      </c>
      <c r="C2" s="2">
        <f>HYPERLINK("#'MAHSAN דגים'!AB12","NORD PORT")</f>
      </c>
      <c r="E2" s="4" t="s">
        <v>1</v>
      </c>
    </row>
    <row r="3" spans="1:1" x14ac:dyDescent="0.25"/>
    <row r="4" ht="31.8" customHeight="1" x14ac:dyDescent="0.25"/>
    <row r="5" ht="31.8" customHeight="1" spans="1:30" x14ac:dyDescent="0.25">
      <c r="C5" s="5"/>
      <c r="D5" s="6"/>
      <c r="E5" s="6"/>
      <c r="F5" s="6"/>
      <c r="G5" s="6"/>
      <c r="H5" s="6"/>
      <c r="I5" s="6"/>
      <c r="J5" s="6"/>
      <c r="K5" s="6"/>
      <c r="L5" s="6"/>
      <c r="M5" s="7"/>
      <c r="N5" s="8" t="s">
        <v>2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</row>
    <row r="6" ht="31.8" customHeight="1" spans="1:30" x14ac:dyDescent="0.25">
      <c r="C6" s="9"/>
      <c r="D6" s="10"/>
      <c r="E6" s="10"/>
      <c r="F6" s="10"/>
      <c r="G6" s="10"/>
      <c r="H6" s="10"/>
      <c r="I6" s="10"/>
      <c r="J6" s="10"/>
      <c r="K6" s="10"/>
      <c r="L6" s="10"/>
      <c r="M6" s="11"/>
      <c r="N6" s="12" t="s">
        <v>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</row>
    <row r="7" ht="31.8" customHeight="1" spans="1:30" x14ac:dyDescent="0.25">
      <c r="C7" s="9"/>
      <c r="D7" s="10"/>
      <c r="E7" s="10"/>
      <c r="F7" s="10"/>
      <c r="G7" s="10"/>
      <c r="H7" s="10"/>
      <c r="I7" s="10"/>
      <c r="J7" s="10"/>
      <c r="K7" s="10"/>
      <c r="L7" s="10"/>
      <c r="M7" s="11"/>
      <c r="N7" s="12" t="s">
        <v>2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</row>
    <row r="8" ht="31.8" customHeight="1" spans="1:30" x14ac:dyDescent="0.25">
      <c r="C8" s="9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1"/>
    </row>
    <row r="9" ht="160" customHeight="1" spans="1:30" x14ac:dyDescent="0.25">
      <c r="C9" s="13"/>
      <c r="D9" s="14"/>
      <c r="E9" s="14"/>
      <c r="F9" s="14"/>
      <c r="G9" s="14"/>
      <c r="H9" s="14"/>
      <c r="I9" s="14"/>
      <c r="J9" s="14"/>
      <c r="K9" s="14"/>
      <c r="L9" s="14"/>
      <c r="M9" s="15"/>
      <c r="N9" s="16"/>
      <c r="O9" s="17"/>
      <c r="P9" s="17"/>
      <c r="Q9" s="17"/>
      <c r="R9" s="17"/>
      <c r="S9" s="17"/>
      <c r="T9" s="17"/>
      <c r="U9" s="17"/>
      <c r="V9" s="18">
        <v>8</v>
      </c>
      <c r="W9" s="18">
        <v>7</v>
      </c>
      <c r="X9" s="18">
        <v>6</v>
      </c>
      <c r="Y9" s="18">
        <v>5</v>
      </c>
      <c r="Z9" s="18">
        <v>4</v>
      </c>
      <c r="AA9" s="18">
        <v>3</v>
      </c>
      <c r="AB9" s="18">
        <v>2</v>
      </c>
      <c r="AC9" s="18">
        <v>1</v>
      </c>
      <c r="AD9" s="11"/>
    </row>
    <row r="10" ht="160" customHeight="1" spans="1:30" x14ac:dyDescent="0.25">
      <c r="C10" s="19"/>
      <c r="D10" s="19"/>
      <c r="E10" s="20">
        <v>56</v>
      </c>
      <c r="F10" s="20" t="s">
        <v>3</v>
      </c>
      <c r="G10" s="20" t="s">
        <v>4</v>
      </c>
      <c r="H10" s="20">
        <v>50</v>
      </c>
      <c r="I10" s="20" t="s">
        <v>5</v>
      </c>
      <c r="J10" s="20" t="s">
        <v>6</v>
      </c>
      <c r="K10" s="20" t="s">
        <v>7</v>
      </c>
      <c r="L10" s="20" t="s">
        <v>8</v>
      </c>
      <c r="M10" s="20" t="s">
        <v>9</v>
      </c>
      <c r="N10" s="18" t="s">
        <v>10</v>
      </c>
      <c r="O10" s="18" t="s">
        <v>11</v>
      </c>
      <c r="P10" s="18" t="s">
        <v>12</v>
      </c>
      <c r="Q10" s="18" t="s">
        <v>13</v>
      </c>
      <c r="R10" s="18" t="s">
        <v>14</v>
      </c>
      <c r="S10" s="18" t="s">
        <v>15</v>
      </c>
      <c r="T10" s="18" t="s">
        <v>16</v>
      </c>
      <c r="U10" s="18" t="s">
        <v>17</v>
      </c>
      <c r="V10" s="18" t="s">
        <v>18</v>
      </c>
      <c r="W10" s="18">
        <v>24</v>
      </c>
      <c r="X10" s="18" t="s">
        <v>19</v>
      </c>
      <c r="Y10" s="18">
        <v>19</v>
      </c>
      <c r="Z10" s="18" t="s">
        <v>20</v>
      </c>
      <c r="AA10" s="18" t="s">
        <v>21</v>
      </c>
      <c r="AB10" s="18" t="s">
        <v>22</v>
      </c>
      <c r="AC10" s="18" t="s">
        <v>23</v>
      </c>
      <c r="AD10" s="11"/>
    </row>
    <row r="11" ht="31.8" customHeight="1" spans="1:31" x14ac:dyDescent="0.25">
      <c r="C11" s="9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1"/>
      <c r="AE11" s="21" t="s">
        <v>24</v>
      </c>
    </row>
    <row r="12" ht="160" customHeight="1" spans="1:31" x14ac:dyDescent="0.25">
      <c r="C12" s="22"/>
      <c r="D12" s="22"/>
      <c r="E12" s="18">
        <v>57</v>
      </c>
      <c r="F12" s="18" t="s">
        <v>25</v>
      </c>
      <c r="G12" s="18" t="s">
        <v>26</v>
      </c>
      <c r="H12" s="18" t="s">
        <v>27</v>
      </c>
      <c r="I12" s="18" t="s">
        <v>28</v>
      </c>
      <c r="J12" s="18" t="s">
        <v>29</v>
      </c>
      <c r="K12" s="18" t="s">
        <v>30</v>
      </c>
      <c r="L12" s="18" t="s">
        <v>31</v>
      </c>
      <c r="M12" s="18" t="s">
        <v>32</v>
      </c>
      <c r="N12" s="20">
        <v>40</v>
      </c>
      <c r="O12" s="20" t="s">
        <v>33</v>
      </c>
      <c r="P12" s="20" t="s">
        <v>34</v>
      </c>
      <c r="Q12" s="20" t="s">
        <v>35</v>
      </c>
      <c r="R12" s="10"/>
      <c r="S12" s="20" t="s">
        <v>36</v>
      </c>
      <c r="T12" s="18" t="s">
        <v>37</v>
      </c>
      <c r="U12" s="18" t="s">
        <v>38</v>
      </c>
      <c r="V12" s="18" t="s">
        <v>39</v>
      </c>
      <c r="W12" s="18">
        <v>22</v>
      </c>
      <c r="X12" s="18" t="s">
        <v>40</v>
      </c>
      <c r="Y12" s="18">
        <v>14</v>
      </c>
      <c r="Z12" s="18" t="s">
        <v>41</v>
      </c>
      <c r="AA12" s="18" t="s">
        <v>42</v>
      </c>
      <c r="AB12" s="18">
        <v>11</v>
      </c>
      <c r="AC12" s="18" t="s">
        <v>43</v>
      </c>
      <c r="AD12" s="23">
        <v>9</v>
      </c>
      <c r="AE12" s="21"/>
    </row>
    <row r="13" ht="31.8" customHeight="1" spans="1:31" x14ac:dyDescent="0.25">
      <c r="C13" s="24"/>
      <c r="D13" s="25"/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0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23"/>
      <c r="AE13" s="21"/>
    </row>
    <row r="14" ht="31.8" customHeight="1" spans="1:31" x14ac:dyDescent="0.25">
      <c r="C14" s="9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1"/>
      <c r="AE14" s="26"/>
    </row>
    <row r="15" ht="31.8" customHeight="1" spans="1:31" x14ac:dyDescent="0.25">
      <c r="C15" s="27" t="s">
        <v>44</v>
      </c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10"/>
      <c r="S15" s="10"/>
      <c r="T15" s="10"/>
      <c r="U15" s="10"/>
      <c r="V15" s="10"/>
      <c r="W15" s="10"/>
      <c r="X15" s="12" t="s">
        <v>44</v>
      </c>
      <c r="Y15" s="12"/>
      <c r="Z15" s="12"/>
      <c r="AA15" s="12"/>
      <c r="AB15" s="12"/>
      <c r="AC15" s="12"/>
      <c r="AD15" s="12"/>
      <c r="AE15" s="26"/>
    </row>
    <row r="16" ht="31.8" customHeight="1" spans="1:31" x14ac:dyDescent="0.25">
      <c r="C16" s="27" t="s">
        <v>44</v>
      </c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10"/>
      <c r="S16" s="10"/>
      <c r="T16" s="10"/>
      <c r="U16" s="10"/>
      <c r="V16" s="10"/>
      <c r="W16" s="10"/>
      <c r="X16" s="12" t="s">
        <v>44</v>
      </c>
      <c r="Y16" s="12"/>
      <c r="Z16" s="12"/>
      <c r="AA16" s="12"/>
      <c r="AB16" s="12"/>
      <c r="AC16" s="12"/>
      <c r="AD16" s="12"/>
      <c r="AE16" s="26"/>
    </row>
    <row r="17" ht="31.8" customHeight="1" spans="1:30" x14ac:dyDescent="0.25">
      <c r="C17" s="28" t="s">
        <v>44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14"/>
      <c r="S17" s="14"/>
      <c r="T17" s="14"/>
      <c r="U17" s="14"/>
      <c r="V17" s="14"/>
      <c r="W17" s="14"/>
      <c r="X17" s="29" t="s">
        <v>44</v>
      </c>
      <c r="Y17" s="29"/>
      <c r="Z17" s="29"/>
      <c r="AA17" s="29"/>
      <c r="AB17" s="29"/>
      <c r="AC17" s="29"/>
      <c r="AD17" s="29"/>
    </row>
    <row r="20" spans="1:1" x14ac:dyDescent="0.25">
      <c r="A20" s="30" t="s">
        <v>45</v>
      </c>
    </row>
    <row r="21" ht="16" customHeight="1" spans="1:4" x14ac:dyDescent="0.25">
      <c r="A21" s="31" t="s">
        <v>46</v>
      </c>
      <c r="B21" s="31" t="s">
        <v>47</v>
      </c>
      <c r="C21" s="31" t="s">
        <v>48</v>
      </c>
      <c r="D21" s="31" t="s">
        <v>49</v>
      </c>
    </row>
    <row r="22" ht="15" customHeight="1" spans="1:4" s="32" customFormat="1" x14ac:dyDescent="0.25">
      <c r="A22" s="32" t="s">
        <v>50</v>
      </c>
      <c r="B22" s="32" t="s">
        <v>51</v>
      </c>
      <c r="C22" s="32" t="s">
        <v>52</v>
      </c>
      <c r="D22" s="32">
        <v>0</v>
      </c>
    </row>
    <row r="23" ht="15" customHeight="1" spans="1:4" s="33" customFormat="1" x14ac:dyDescent="0.25">
      <c r="A23" s="33" t="s">
        <v>53</v>
      </c>
      <c r="B23" s="33" t="s">
        <v>54</v>
      </c>
      <c r="C23" s="33" t="s">
        <v>52</v>
      </c>
      <c r="D23" s="33">
        <v>0</v>
      </c>
    </row>
    <row r="24" ht="15" customHeight="1" spans="1:4" s="32" customFormat="1" x14ac:dyDescent="0.25">
      <c r="A24" s="32" t="s">
        <v>55</v>
      </c>
      <c r="B24" s="32" t="s">
        <v>56</v>
      </c>
      <c r="C24" s="32" t="s">
        <v>52</v>
      </c>
      <c r="D24" s="32">
        <v>0</v>
      </c>
    </row>
    <row r="25" ht="15" customHeight="1" spans="1:4" s="33" customFormat="1" x14ac:dyDescent="0.25">
      <c r="A25" s="33" t="s">
        <v>57</v>
      </c>
      <c r="B25" s="33" t="s">
        <v>58</v>
      </c>
      <c r="C25" s="33" t="s">
        <v>52</v>
      </c>
      <c r="D25" s="33">
        <v>0</v>
      </c>
    </row>
    <row r="26" ht="15" customHeight="1" spans="1:4" s="32" customFormat="1" x14ac:dyDescent="0.25">
      <c r="A26" s="32" t="s">
        <v>59</v>
      </c>
      <c r="B26" s="32" t="s">
        <v>60</v>
      </c>
      <c r="C26" s="32" t="s">
        <v>52</v>
      </c>
      <c r="D26" s="32">
        <v>0</v>
      </c>
    </row>
    <row r="27" ht="15" customHeight="1" spans="1:4" s="33" customFormat="1" x14ac:dyDescent="0.25">
      <c r="A27" s="33" t="s">
        <v>61</v>
      </c>
      <c r="B27" s="33" t="s">
        <v>62</v>
      </c>
      <c r="C27" s="33" t="s">
        <v>52</v>
      </c>
      <c r="D27" s="33">
        <v>0</v>
      </c>
    </row>
    <row r="28" ht="15" customHeight="1" spans="1:4" s="32" customFormat="1" x14ac:dyDescent="0.25">
      <c r="A28" s="32" t="s">
        <v>63</v>
      </c>
      <c r="B28" s="32" t="s">
        <v>64</v>
      </c>
      <c r="C28" s="32" t="s">
        <v>52</v>
      </c>
      <c r="D28" s="32">
        <v>0</v>
      </c>
    </row>
    <row r="29" ht="15" customHeight="1" spans="1:4" s="33" customFormat="1" x14ac:dyDescent="0.25">
      <c r="A29" s="33" t="s">
        <v>65</v>
      </c>
      <c r="B29" s="33" t="s">
        <v>66</v>
      </c>
      <c r="C29" s="33" t="s">
        <v>52</v>
      </c>
      <c r="D29" s="33">
        <v>0</v>
      </c>
    </row>
    <row r="30" ht="15" customHeight="1" spans="1:4" s="32" customFormat="1" x14ac:dyDescent="0.25">
      <c r="A30" s="32" t="s">
        <v>67</v>
      </c>
      <c r="B30" s="32" t="s">
        <v>68</v>
      </c>
      <c r="C30" s="32" t="s">
        <v>69</v>
      </c>
      <c r="D30" s="32">
        <v>0</v>
      </c>
    </row>
    <row r="31" ht="15" customHeight="1" spans="1:4" s="33" customFormat="1" x14ac:dyDescent="0.25">
      <c r="A31" s="33" t="s">
        <v>70</v>
      </c>
      <c r="B31" s="33" t="s">
        <v>71</v>
      </c>
      <c r="C31" s="33" t="s">
        <v>72</v>
      </c>
      <c r="D31" s="33">
        <v>0</v>
      </c>
    </row>
    <row r="32" ht="15" customHeight="1" spans="1:4" s="32" customFormat="1" x14ac:dyDescent="0.25">
      <c r="A32" s="32" t="s">
        <v>73</v>
      </c>
      <c r="B32" s="32" t="s">
        <v>74</v>
      </c>
      <c r="C32" s="32" t="s">
        <v>69</v>
      </c>
      <c r="D32" s="32">
        <v>0</v>
      </c>
    </row>
    <row r="33" ht="15" customHeight="1" spans="1:4" s="33" customFormat="1" x14ac:dyDescent="0.25">
      <c r="A33" s="33" t="s">
        <v>75</v>
      </c>
      <c r="B33" s="33" t="s">
        <v>76</v>
      </c>
      <c r="C33" s="33" t="s">
        <v>72</v>
      </c>
      <c r="D33" s="33">
        <v>0</v>
      </c>
    </row>
    <row r="34" ht="15" customHeight="1" spans="1:4" s="32" customFormat="1" x14ac:dyDescent="0.25">
      <c r="A34" s="32" t="s">
        <v>77</v>
      </c>
      <c r="B34" s="32" t="s">
        <v>78</v>
      </c>
      <c r="C34" s="32" t="s">
        <v>72</v>
      </c>
      <c r="D34" s="32">
        <v>0</v>
      </c>
    </row>
    <row r="35" ht="15" customHeight="1" spans="1:4" s="33" customFormat="1" x14ac:dyDescent="0.25">
      <c r="A35" s="33" t="s">
        <v>79</v>
      </c>
      <c r="B35" s="33" t="s">
        <v>80</v>
      </c>
      <c r="C35" s="33" t="s">
        <v>69</v>
      </c>
      <c r="D35" s="33">
        <v>0</v>
      </c>
    </row>
    <row r="36" ht="15" customHeight="1" spans="1:4" s="32" customFormat="1" x14ac:dyDescent="0.25">
      <c r="A36" s="32" t="s">
        <v>81</v>
      </c>
      <c r="B36" s="32" t="s">
        <v>82</v>
      </c>
      <c r="C36" s="32" t="s">
        <v>69</v>
      </c>
      <c r="D36" s="32">
        <v>0</v>
      </c>
    </row>
  </sheetData>
  <mergeCells count="12">
    <mergeCell ref="A1:T1"/>
    <mergeCell ref="N5:AD5"/>
    <mergeCell ref="N6:AD6"/>
    <mergeCell ref="N7:AD7"/>
    <mergeCell ref="AE11:AE13"/>
    <mergeCell ref="C15:Q15"/>
    <mergeCell ref="X15:AD15"/>
    <mergeCell ref="AE14:AE16"/>
    <mergeCell ref="C16:Q16"/>
    <mergeCell ref="X16:AD16"/>
    <mergeCell ref="C17:Q17"/>
    <mergeCell ref="X17:AD17"/>
  </mergeCells>
  <pageMargins left="0.7" right="0.7" top="0.75" bottom="0.75" header="0.3" footer="0.3"/>
  <pageSetup paperSize="9" orientation="portrait" horizontalDpi="4294967295" verticalDpi="4294967295" scale="35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82" customFormat="1" x14ac:dyDescent="0.25">
      <c r="A1" s="82" t="s">
        <v>215</v>
      </c>
      <c r="B1" s="82" t="s">
        <v>46</v>
      </c>
      <c r="C1" s="82" t="s">
        <v>47</v>
      </c>
      <c r="D1" s="82" t="s">
        <v>48</v>
      </c>
      <c r="E1" s="82" t="s">
        <v>216</v>
      </c>
      <c r="F1" s="82" t="s">
        <v>49</v>
      </c>
    </row>
    <row r="2" ht="16" customHeight="1" spans="1:6" s="32" customFormat="1" x14ac:dyDescent="0.25">
      <c r="A2" s="32">
        <v>1</v>
      </c>
      <c r="B2" s="32" t="s">
        <v>323</v>
      </c>
      <c r="C2" s="32" t="s">
        <v>324</v>
      </c>
      <c r="D2" s="32" t="s">
        <v>325</v>
      </c>
      <c r="E2" s="32" t="s">
        <v>253</v>
      </c>
      <c r="F2" s="32" t="s">
        <v>221</v>
      </c>
    </row>
    <row r="3" ht="16" customHeight="1" spans="1:6" s="79" customFormat="1" x14ac:dyDescent="0.25">
      <c r="A3" s="79">
        <v>2</v>
      </c>
      <c r="B3" s="79" t="s">
        <v>326</v>
      </c>
      <c r="C3" s="79" t="s">
        <v>327</v>
      </c>
      <c r="D3" s="79" t="s">
        <v>325</v>
      </c>
      <c r="E3" s="79" t="s">
        <v>328</v>
      </c>
      <c r="F3" s="79" t="s">
        <v>221</v>
      </c>
    </row>
    <row r="4" ht="16" customHeight="1" spans="1:6" s="32" customFormat="1" x14ac:dyDescent="0.25">
      <c r="A4" s="32">
        <v>3</v>
      </c>
      <c r="B4" s="32" t="s">
        <v>329</v>
      </c>
      <c r="C4" s="32" t="s">
        <v>330</v>
      </c>
      <c r="D4" s="32" t="s">
        <v>325</v>
      </c>
      <c r="E4" s="32" t="s">
        <v>331</v>
      </c>
      <c r="F4" s="32" t="s">
        <v>221</v>
      </c>
    </row>
    <row r="5" ht="16" customHeight="1" spans="1:6" s="79" customFormat="1" x14ac:dyDescent="0.25">
      <c r="A5" s="79">
        <v>4</v>
      </c>
      <c r="B5" s="79" t="s">
        <v>332</v>
      </c>
      <c r="C5" s="79" t="s">
        <v>333</v>
      </c>
      <c r="D5" s="79" t="s">
        <v>325</v>
      </c>
      <c r="E5" s="79" t="s">
        <v>331</v>
      </c>
      <c r="F5" s="79" t="s">
        <v>221</v>
      </c>
    </row>
    <row r="6" ht="16" customHeight="1" spans="1:6" s="32" customFormat="1" x14ac:dyDescent="0.25">
      <c r="A6" s="32">
        <v>5</v>
      </c>
      <c r="B6" s="32" t="s">
        <v>334</v>
      </c>
      <c r="C6" s="32" t="s">
        <v>335</v>
      </c>
      <c r="D6" s="32" t="s">
        <v>325</v>
      </c>
      <c r="E6" s="32" t="s">
        <v>331</v>
      </c>
      <c r="F6" s="32" t="s">
        <v>221</v>
      </c>
    </row>
    <row r="7" ht="16" customHeight="1" spans="1:6" s="79" customFormat="1" x14ac:dyDescent="0.25">
      <c r="A7" s="79">
        <v>6</v>
      </c>
      <c r="B7" s="79" t="s">
        <v>336</v>
      </c>
      <c r="C7" s="79" t="s">
        <v>337</v>
      </c>
      <c r="D7" s="79" t="s">
        <v>325</v>
      </c>
      <c r="E7" s="79" t="s">
        <v>338</v>
      </c>
      <c r="F7" s="79" t="s">
        <v>221</v>
      </c>
    </row>
    <row r="8" ht="16" customHeight="1" spans="1:6" s="32" customFormat="1" x14ac:dyDescent="0.25">
      <c r="A8" s="32">
        <v>7</v>
      </c>
      <c r="B8" s="32" t="s">
        <v>339</v>
      </c>
      <c r="C8" s="32" t="s">
        <v>340</v>
      </c>
      <c r="D8" s="32" t="s">
        <v>325</v>
      </c>
      <c r="E8" s="32" t="s">
        <v>338</v>
      </c>
      <c r="F8" s="32" t="s">
        <v>221</v>
      </c>
    </row>
    <row r="9" ht="16" customHeight="1" spans="1:6" s="79" customFormat="1" x14ac:dyDescent="0.25">
      <c r="A9" s="79">
        <v>8</v>
      </c>
      <c r="B9" s="79" t="s">
        <v>341</v>
      </c>
      <c r="C9" s="79" t="s">
        <v>342</v>
      </c>
      <c r="D9" s="79" t="s">
        <v>325</v>
      </c>
      <c r="E9" s="79" t="s">
        <v>338</v>
      </c>
      <c r="F9" s="79" t="s">
        <v>221</v>
      </c>
    </row>
    <row r="10" ht="16" customHeight="1" spans="1:6" s="32" customFormat="1" x14ac:dyDescent="0.25">
      <c r="A10" s="32">
        <v>9</v>
      </c>
      <c r="B10" s="32" t="s">
        <v>343</v>
      </c>
      <c r="C10" s="32" t="s">
        <v>344</v>
      </c>
      <c r="D10" s="32" t="s">
        <v>325</v>
      </c>
      <c r="E10" s="32" t="s">
        <v>345</v>
      </c>
      <c r="F10" s="32" t="s">
        <v>221</v>
      </c>
    </row>
    <row r="11" ht="16" customHeight="1" spans="1:6" s="79" customFormat="1" x14ac:dyDescent="0.25">
      <c r="A11" s="79">
        <v>10</v>
      </c>
      <c r="B11" s="79" t="s">
        <v>346</v>
      </c>
      <c r="C11" s="79" t="s">
        <v>347</v>
      </c>
      <c r="D11" s="79" t="s">
        <v>325</v>
      </c>
      <c r="E11" s="79" t="s">
        <v>345</v>
      </c>
      <c r="F11" s="79" t="s">
        <v>221</v>
      </c>
    </row>
    <row r="12" ht="16" customHeight="1" spans="1:6" s="32" customFormat="1" x14ac:dyDescent="0.25">
      <c r="A12" s="32">
        <v>11</v>
      </c>
      <c r="B12" s="32" t="s">
        <v>348</v>
      </c>
      <c r="C12" s="32" t="s">
        <v>349</v>
      </c>
      <c r="D12" s="32" t="s">
        <v>325</v>
      </c>
      <c r="E12" s="32" t="s">
        <v>345</v>
      </c>
      <c r="F12" s="32" t="s">
        <v>221</v>
      </c>
    </row>
    <row r="13" ht="16" customHeight="1" spans="1:6" s="79" customFormat="1" x14ac:dyDescent="0.25">
      <c r="A13" s="79">
        <v>12</v>
      </c>
      <c r="B13" s="79" t="s">
        <v>350</v>
      </c>
      <c r="C13" s="79" t="s">
        <v>351</v>
      </c>
      <c r="D13" s="79" t="s">
        <v>325</v>
      </c>
      <c r="E13" s="79" t="s">
        <v>352</v>
      </c>
      <c r="F13" s="79" t="s">
        <v>221</v>
      </c>
    </row>
    <row r="14" ht="16" customHeight="1" spans="1:6" s="32" customFormat="1" x14ac:dyDescent="0.25">
      <c r="A14" s="32">
        <v>13</v>
      </c>
      <c r="B14" s="32" t="s">
        <v>353</v>
      </c>
      <c r="C14" s="32" t="s">
        <v>354</v>
      </c>
      <c r="D14" s="32" t="s">
        <v>325</v>
      </c>
      <c r="E14" s="32" t="s">
        <v>352</v>
      </c>
      <c r="F14" s="32" t="s">
        <v>221</v>
      </c>
    </row>
    <row r="15" ht="16" customHeight="1" spans="1:6" s="79" customFormat="1" x14ac:dyDescent="0.25">
      <c r="A15" s="79">
        <v>14</v>
      </c>
      <c r="B15" s="79" t="s">
        <v>355</v>
      </c>
      <c r="C15" s="79" t="s">
        <v>356</v>
      </c>
      <c r="D15" s="79" t="s">
        <v>325</v>
      </c>
      <c r="E15" s="79" t="s">
        <v>352</v>
      </c>
      <c r="F15" s="79" t="s">
        <v>221</v>
      </c>
    </row>
    <row r="16" ht="16" customHeight="1" spans="1:6" s="32" customFormat="1" x14ac:dyDescent="0.25">
      <c r="A16" s="32">
        <v>15</v>
      </c>
      <c r="B16" s="32" t="s">
        <v>357</v>
      </c>
      <c r="C16" s="32" t="s">
        <v>358</v>
      </c>
      <c r="D16" s="32" t="s">
        <v>325</v>
      </c>
      <c r="E16" s="32" t="s">
        <v>359</v>
      </c>
      <c r="F16" s="32" t="s">
        <v>221</v>
      </c>
    </row>
    <row r="17" ht="16" customHeight="1" spans="1:6" s="79" customFormat="1" x14ac:dyDescent="0.25">
      <c r="A17" s="79">
        <v>16</v>
      </c>
      <c r="B17" s="79" t="s">
        <v>360</v>
      </c>
      <c r="C17" s="79" t="s">
        <v>361</v>
      </c>
      <c r="D17" s="79" t="s">
        <v>325</v>
      </c>
      <c r="E17" s="79" t="s">
        <v>359</v>
      </c>
      <c r="F17" s="79" t="s">
        <v>221</v>
      </c>
    </row>
    <row r="18" ht="16" customHeight="1" spans="1:6" s="32" customFormat="1" x14ac:dyDescent="0.25">
      <c r="A18" s="32">
        <v>17</v>
      </c>
      <c r="B18" s="32" t="s">
        <v>362</v>
      </c>
      <c r="C18" s="32" t="s">
        <v>363</v>
      </c>
      <c r="D18" s="32" t="s">
        <v>325</v>
      </c>
      <c r="E18" s="32" t="s">
        <v>359</v>
      </c>
      <c r="F18" s="32" t="s">
        <v>221</v>
      </c>
    </row>
    <row r="19" ht="16" customHeight="1" spans="1:6" s="79" customFormat="1" x14ac:dyDescent="0.25">
      <c r="A19" s="79">
        <v>18</v>
      </c>
      <c r="B19" s="79" t="s">
        <v>364</v>
      </c>
      <c r="C19" s="79" t="s">
        <v>365</v>
      </c>
      <c r="D19" s="79" t="s">
        <v>325</v>
      </c>
      <c r="E19" s="79" t="s">
        <v>366</v>
      </c>
      <c r="F19" s="79" t="s">
        <v>221</v>
      </c>
    </row>
    <row r="20" ht="16" customHeight="1" spans="1:6" s="32" customFormat="1" x14ac:dyDescent="0.25">
      <c r="A20" s="32">
        <v>19</v>
      </c>
      <c r="B20" s="32" t="s">
        <v>367</v>
      </c>
      <c r="C20" s="32" t="s">
        <v>368</v>
      </c>
      <c r="D20" s="32" t="s">
        <v>325</v>
      </c>
      <c r="E20" s="32" t="s">
        <v>366</v>
      </c>
      <c r="F20" s="32" t="s">
        <v>221</v>
      </c>
    </row>
    <row r="21" ht="16" customHeight="1" spans="1:6" s="79" customFormat="1" x14ac:dyDescent="0.25">
      <c r="A21" s="79">
        <v>20</v>
      </c>
      <c r="B21" s="79" t="s">
        <v>369</v>
      </c>
      <c r="C21" s="79" t="s">
        <v>370</v>
      </c>
      <c r="D21" s="79" t="s">
        <v>325</v>
      </c>
      <c r="E21" s="79" t="s">
        <v>371</v>
      </c>
      <c r="F21" s="79" t="s">
        <v>221</v>
      </c>
    </row>
    <row r="22" ht="16" customHeight="1" spans="1:6" s="32" customFormat="1" x14ac:dyDescent="0.25">
      <c r="A22" s="32">
        <v>21</v>
      </c>
      <c r="B22" s="32" t="s">
        <v>372</v>
      </c>
      <c r="C22" s="32" t="s">
        <v>373</v>
      </c>
      <c r="D22" s="32" t="s">
        <v>325</v>
      </c>
      <c r="E22" s="32" t="s">
        <v>313</v>
      </c>
      <c r="F22" s="32" t="s">
        <v>221</v>
      </c>
    </row>
    <row r="23" ht="16" customHeight="1" spans="1:6" s="79" customFormat="1" x14ac:dyDescent="0.25">
      <c r="A23" s="79">
        <v>22</v>
      </c>
      <c r="B23" s="79" t="s">
        <v>374</v>
      </c>
      <c r="C23" s="79" t="s">
        <v>375</v>
      </c>
      <c r="D23" s="79" t="s">
        <v>325</v>
      </c>
      <c r="E23" s="79" t="s">
        <v>313</v>
      </c>
      <c r="F23" s="79" t="s">
        <v>221</v>
      </c>
    </row>
    <row r="24" ht="16" customHeight="1" spans="1:6" s="32" customFormat="1" x14ac:dyDescent="0.25">
      <c r="A24" s="32">
        <v>23</v>
      </c>
      <c r="B24" s="32" t="s">
        <v>376</v>
      </c>
      <c r="C24" s="32" t="s">
        <v>377</v>
      </c>
      <c r="D24" s="32" t="s">
        <v>325</v>
      </c>
      <c r="E24" s="32" t="s">
        <v>313</v>
      </c>
      <c r="F24" s="32" t="s">
        <v>221</v>
      </c>
    </row>
    <row r="25" ht="16" customHeight="1" spans="1:6" s="79" customFormat="1" x14ac:dyDescent="0.25">
      <c r="A25" s="79">
        <v>24</v>
      </c>
      <c r="B25" s="79" t="s">
        <v>378</v>
      </c>
      <c r="C25" s="79" t="s">
        <v>379</v>
      </c>
      <c r="D25" s="79" t="s">
        <v>132</v>
      </c>
      <c r="E25" s="79" t="s">
        <v>380</v>
      </c>
      <c r="F25" s="79" t="s">
        <v>221</v>
      </c>
    </row>
    <row r="26" ht="16" customHeight="1" spans="1:6" s="80" customFormat="1" x14ac:dyDescent="0.25">
      <c r="A26" s="80">
        <v>25</v>
      </c>
      <c r="B26" s="80" t="s">
        <v>130</v>
      </c>
      <c r="C26" s="80" t="s">
        <v>131</v>
      </c>
      <c r="D26" s="80" t="s">
        <v>132</v>
      </c>
      <c r="E26" s="80" t="s">
        <v>381</v>
      </c>
      <c r="F26" s="81" t="s">
        <v>45</v>
      </c>
    </row>
    <row r="27" ht="16" customHeight="1" spans="1:6" s="79" customFormat="1" x14ac:dyDescent="0.25">
      <c r="A27" s="79">
        <v>26</v>
      </c>
      <c r="B27" s="79" t="s">
        <v>382</v>
      </c>
      <c r="C27" s="79" t="s">
        <v>383</v>
      </c>
      <c r="D27" s="79" t="s">
        <v>132</v>
      </c>
      <c r="E27" s="79" t="s">
        <v>384</v>
      </c>
      <c r="F27" s="79" t="s">
        <v>221</v>
      </c>
    </row>
    <row r="28" ht="16" customHeight="1" spans="1:6" s="32" customFormat="1" x14ac:dyDescent="0.25">
      <c r="A28" s="32">
        <v>27</v>
      </c>
      <c r="B28" s="32" t="s">
        <v>385</v>
      </c>
      <c r="C28" s="32" t="s">
        <v>386</v>
      </c>
      <c r="D28" s="32" t="s">
        <v>132</v>
      </c>
      <c r="E28" s="32" t="s">
        <v>292</v>
      </c>
      <c r="F28" s="32" t="s">
        <v>221</v>
      </c>
    </row>
    <row r="29" ht="16" customHeight="1" spans="1:6" s="79" customFormat="1" x14ac:dyDescent="0.25">
      <c r="A29" s="79">
        <v>28</v>
      </c>
      <c r="B29" s="79" t="s">
        <v>387</v>
      </c>
      <c r="C29" s="79" t="s">
        <v>388</v>
      </c>
      <c r="D29" s="79" t="s">
        <v>132</v>
      </c>
      <c r="E29" s="79" t="s">
        <v>331</v>
      </c>
      <c r="F29" s="79" t="s">
        <v>221</v>
      </c>
    </row>
    <row r="30" ht="16" customHeight="1" spans="1:6" s="32" customFormat="1" x14ac:dyDescent="0.25">
      <c r="A30" s="32">
        <v>29</v>
      </c>
      <c r="B30" s="32" t="s">
        <v>389</v>
      </c>
      <c r="C30" s="32" t="s">
        <v>390</v>
      </c>
      <c r="D30" s="32" t="s">
        <v>132</v>
      </c>
      <c r="E30" s="32" t="s">
        <v>280</v>
      </c>
      <c r="F30" s="32" t="s">
        <v>221</v>
      </c>
    </row>
    <row r="31" ht="16" customHeight="1" spans="1:6" s="79" customFormat="1" x14ac:dyDescent="0.25">
      <c r="A31" s="79">
        <v>30</v>
      </c>
      <c r="B31" s="79" t="s">
        <v>391</v>
      </c>
      <c r="C31" s="79" t="s">
        <v>392</v>
      </c>
      <c r="D31" s="79" t="s">
        <v>132</v>
      </c>
      <c r="E31" s="79" t="s">
        <v>280</v>
      </c>
      <c r="F31" s="79" t="s">
        <v>221</v>
      </c>
    </row>
    <row r="32" ht="16" customHeight="1" spans="1:6" s="32" customFormat="1" x14ac:dyDescent="0.25">
      <c r="A32" s="32">
        <v>31</v>
      </c>
      <c r="B32" s="32" t="s">
        <v>393</v>
      </c>
      <c r="C32" s="32" t="s">
        <v>394</v>
      </c>
      <c r="D32" s="32" t="s">
        <v>132</v>
      </c>
      <c r="E32" s="32" t="s">
        <v>280</v>
      </c>
      <c r="F32" s="32" t="s">
        <v>221</v>
      </c>
    </row>
    <row r="33" ht="16" customHeight="1" spans="1:6" s="79" customFormat="1" x14ac:dyDescent="0.25">
      <c r="A33" s="79">
        <v>32</v>
      </c>
      <c r="B33" s="79" t="s">
        <v>395</v>
      </c>
      <c r="C33" s="79" t="s">
        <v>396</v>
      </c>
      <c r="D33" s="79" t="s">
        <v>132</v>
      </c>
      <c r="E33" s="79" t="s">
        <v>280</v>
      </c>
      <c r="F33" s="79" t="s">
        <v>221</v>
      </c>
    </row>
    <row r="34" ht="16" customHeight="1" spans="1:6" s="32" customFormat="1" x14ac:dyDescent="0.25">
      <c r="A34" s="32">
        <v>33</v>
      </c>
      <c r="B34" s="32" t="s">
        <v>397</v>
      </c>
      <c r="C34" s="32" t="s">
        <v>398</v>
      </c>
      <c r="D34" s="32" t="s">
        <v>132</v>
      </c>
      <c r="E34" s="32" t="s">
        <v>399</v>
      </c>
      <c r="F34" s="32" t="s">
        <v>221</v>
      </c>
    </row>
    <row r="35" ht="16" customHeight="1" spans="1:6" s="79" customFormat="1" x14ac:dyDescent="0.25">
      <c r="A35" s="79">
        <v>34</v>
      </c>
      <c r="B35" s="79" t="s">
        <v>400</v>
      </c>
      <c r="C35" s="79" t="s">
        <v>401</v>
      </c>
      <c r="D35" s="79" t="s">
        <v>135</v>
      </c>
      <c r="E35" s="79" t="s">
        <v>273</v>
      </c>
      <c r="F35" s="79" t="s">
        <v>221</v>
      </c>
    </row>
    <row r="36" ht="16" customHeight="1" spans="1:6" s="80" customFormat="1" x14ac:dyDescent="0.25">
      <c r="A36" s="80">
        <v>35</v>
      </c>
      <c r="B36" s="80" t="s">
        <v>133</v>
      </c>
      <c r="C36" s="80" t="s">
        <v>134</v>
      </c>
      <c r="D36" s="80" t="s">
        <v>135</v>
      </c>
      <c r="E36" s="80" t="s">
        <v>402</v>
      </c>
      <c r="F36" s="81" t="s">
        <v>45</v>
      </c>
    </row>
    <row r="37" ht="16" customHeight="1" spans="1:6" s="80" customFormat="1" x14ac:dyDescent="0.25">
      <c r="A37" s="80">
        <v>36</v>
      </c>
      <c r="B37" s="80" t="s">
        <v>136</v>
      </c>
      <c r="C37" s="80" t="s">
        <v>137</v>
      </c>
      <c r="D37" s="80" t="s">
        <v>135</v>
      </c>
      <c r="E37" s="80" t="s">
        <v>402</v>
      </c>
      <c r="F37" s="81" t="s">
        <v>45</v>
      </c>
    </row>
    <row r="38" ht="16" customHeight="1" spans="1:6" s="32" customFormat="1" x14ac:dyDescent="0.25">
      <c r="A38" s="32">
        <v>37</v>
      </c>
      <c r="B38" s="32" t="s">
        <v>403</v>
      </c>
      <c r="C38" s="32" t="s">
        <v>404</v>
      </c>
      <c r="D38" s="32" t="s">
        <v>135</v>
      </c>
      <c r="E38" s="32" t="s">
        <v>402</v>
      </c>
      <c r="F38" s="32" t="s">
        <v>221</v>
      </c>
    </row>
    <row r="39" ht="16" customHeight="1" spans="1:6" s="80" customFormat="1" x14ac:dyDescent="0.25">
      <c r="A39" s="80">
        <v>38</v>
      </c>
      <c r="B39" s="80" t="s">
        <v>138</v>
      </c>
      <c r="C39" s="80" t="s">
        <v>139</v>
      </c>
      <c r="D39" s="80" t="s">
        <v>135</v>
      </c>
      <c r="E39" s="80" t="s">
        <v>405</v>
      </c>
      <c r="F39" s="81" t="s">
        <v>45</v>
      </c>
    </row>
    <row r="40" ht="16" customHeight="1" spans="1:6" s="32" customFormat="1" x14ac:dyDescent="0.25">
      <c r="A40" s="32">
        <v>39</v>
      </c>
      <c r="B40" s="32" t="s">
        <v>406</v>
      </c>
      <c r="C40" s="32" t="s">
        <v>407</v>
      </c>
      <c r="D40" s="32" t="s">
        <v>135</v>
      </c>
      <c r="E40" s="32" t="s">
        <v>408</v>
      </c>
      <c r="F40" s="32" t="s">
        <v>221</v>
      </c>
    </row>
    <row r="41" ht="16" customHeight="1" spans="1:6" s="79" customFormat="1" x14ac:dyDescent="0.25">
      <c r="A41" s="79">
        <v>40</v>
      </c>
      <c r="B41" s="79" t="s">
        <v>409</v>
      </c>
      <c r="C41" s="79" t="s">
        <v>410</v>
      </c>
      <c r="D41" s="79" t="s">
        <v>411</v>
      </c>
      <c r="E41" s="79" t="s">
        <v>412</v>
      </c>
      <c r="F41" s="79" t="s">
        <v>221</v>
      </c>
    </row>
    <row r="42" ht="16" customHeight="1" spans="1:6" s="32" customFormat="1" x14ac:dyDescent="0.25">
      <c r="A42" s="32">
        <v>41</v>
      </c>
      <c r="B42" s="32" t="s">
        <v>413</v>
      </c>
      <c r="C42" s="32" t="s">
        <v>414</v>
      </c>
      <c r="D42" s="32" t="s">
        <v>411</v>
      </c>
      <c r="E42" s="32" t="s">
        <v>412</v>
      </c>
      <c r="F42" s="32" t="s">
        <v>221</v>
      </c>
    </row>
    <row r="43" ht="16" customHeight="1" spans="1:6" s="79" customFormat="1" x14ac:dyDescent="0.25">
      <c r="A43" s="79">
        <v>42</v>
      </c>
      <c r="B43" s="79" t="s">
        <v>415</v>
      </c>
      <c r="C43" s="79" t="s">
        <v>416</v>
      </c>
      <c r="D43" s="79" t="s">
        <v>411</v>
      </c>
      <c r="E43" s="79" t="s">
        <v>412</v>
      </c>
      <c r="F43" s="79" t="s">
        <v>221</v>
      </c>
    </row>
    <row r="44" ht="16" customHeight="1" spans="1:6" s="32" customFormat="1" x14ac:dyDescent="0.25">
      <c r="A44" s="32">
        <v>43</v>
      </c>
      <c r="B44" s="32" t="s">
        <v>417</v>
      </c>
      <c r="C44" s="32" t="s">
        <v>418</v>
      </c>
      <c r="D44" s="32" t="s">
        <v>411</v>
      </c>
      <c r="E44" s="32" t="s">
        <v>253</v>
      </c>
      <c r="F44" s="32" t="s">
        <v>221</v>
      </c>
    </row>
    <row r="45" ht="16" customHeight="1" spans="1:6" s="79" customFormat="1" x14ac:dyDescent="0.25">
      <c r="A45" s="79">
        <v>44</v>
      </c>
      <c r="B45" s="79" t="s">
        <v>419</v>
      </c>
      <c r="C45" s="79" t="s">
        <v>420</v>
      </c>
      <c r="D45" s="79" t="s">
        <v>411</v>
      </c>
      <c r="E45" s="79" t="s">
        <v>253</v>
      </c>
      <c r="F45" s="79" t="s">
        <v>221</v>
      </c>
    </row>
    <row r="46" ht="16" customHeight="1" spans="1:6" s="32" customFormat="1" x14ac:dyDescent="0.25">
      <c r="A46" s="32">
        <v>45</v>
      </c>
      <c r="B46" s="32" t="s">
        <v>421</v>
      </c>
      <c r="C46" s="32" t="s">
        <v>422</v>
      </c>
      <c r="D46" s="32" t="s">
        <v>411</v>
      </c>
      <c r="E46" s="32" t="s">
        <v>253</v>
      </c>
      <c r="F46" s="32" t="s">
        <v>221</v>
      </c>
    </row>
    <row r="47" ht="16" customHeight="1" spans="1:6" s="79" customFormat="1" x14ac:dyDescent="0.25">
      <c r="A47" s="79">
        <v>46</v>
      </c>
      <c r="B47" s="79" t="s">
        <v>423</v>
      </c>
      <c r="C47" s="79" t="s">
        <v>424</v>
      </c>
      <c r="D47" s="79" t="s">
        <v>411</v>
      </c>
      <c r="E47" s="79" t="s">
        <v>253</v>
      </c>
      <c r="F47" s="79" t="s">
        <v>221</v>
      </c>
    </row>
    <row r="48" ht="16" customHeight="1" spans="1:6" s="32" customFormat="1" x14ac:dyDescent="0.25">
      <c r="A48" s="32">
        <v>47</v>
      </c>
      <c r="B48" s="32" t="s">
        <v>425</v>
      </c>
      <c r="C48" s="32" t="s">
        <v>426</v>
      </c>
      <c r="D48" s="32" t="s">
        <v>411</v>
      </c>
      <c r="E48" s="32" t="s">
        <v>253</v>
      </c>
      <c r="F48" s="32" t="s">
        <v>221</v>
      </c>
    </row>
    <row r="49" ht="16" customHeight="1" spans="1:6" s="79" customFormat="1" x14ac:dyDescent="0.25">
      <c r="A49" s="79">
        <v>48</v>
      </c>
      <c r="B49" s="79" t="s">
        <v>427</v>
      </c>
      <c r="C49" s="79" t="s">
        <v>428</v>
      </c>
      <c r="D49" s="79" t="s">
        <v>411</v>
      </c>
      <c r="E49" s="79" t="s">
        <v>245</v>
      </c>
      <c r="F49" s="79" t="s">
        <v>221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10" customWidth="1"/>
    <col min="3" max="3" width="40" customWidth="1"/>
    <col min="4" max="4" width="22" customWidth="1"/>
    <col min="5" max="5" width="8" customWidth="1"/>
    <col min="6" max="6" width="12" customWidth="1"/>
  </cols>
  <sheetData>
    <row r="1" ht="18" customHeight="1" spans="1:6" s="83" customFormat="1" x14ac:dyDescent="0.25">
      <c r="A1" s="83" t="s">
        <v>215</v>
      </c>
      <c r="B1" s="83" t="s">
        <v>46</v>
      </c>
      <c r="C1" s="83" t="s">
        <v>47</v>
      </c>
      <c r="D1" s="83" t="s">
        <v>48</v>
      </c>
      <c r="E1" s="83" t="s">
        <v>216</v>
      </c>
      <c r="F1" s="83" t="s">
        <v>49</v>
      </c>
    </row>
    <row r="2" ht="16" customHeight="1" spans="1:6" s="80" customFormat="1" x14ac:dyDescent="0.25">
      <c r="A2" s="80">
        <v>1</v>
      </c>
      <c r="B2" s="80" t="s">
        <v>50</v>
      </c>
      <c r="C2" s="80" t="s">
        <v>51</v>
      </c>
      <c r="D2" s="80" t="s">
        <v>52</v>
      </c>
      <c r="E2" s="80" t="s">
        <v>429</v>
      </c>
      <c r="F2" s="81" t="s">
        <v>45</v>
      </c>
    </row>
    <row r="3" ht="16" customHeight="1" spans="1:6" s="80" customFormat="1" x14ac:dyDescent="0.25">
      <c r="A3" s="80">
        <v>2</v>
      </c>
      <c r="B3" s="80" t="s">
        <v>53</v>
      </c>
      <c r="C3" s="80" t="s">
        <v>54</v>
      </c>
      <c r="D3" s="80" t="s">
        <v>52</v>
      </c>
      <c r="E3" s="80" t="s">
        <v>429</v>
      </c>
      <c r="F3" s="81" t="s">
        <v>45</v>
      </c>
    </row>
    <row r="4" ht="16" customHeight="1" spans="1:6" s="80" customFormat="1" x14ac:dyDescent="0.25">
      <c r="A4" s="80">
        <v>3</v>
      </c>
      <c r="B4" s="80" t="s">
        <v>55</v>
      </c>
      <c r="C4" s="80" t="s">
        <v>56</v>
      </c>
      <c r="D4" s="80" t="s">
        <v>52</v>
      </c>
      <c r="E4" s="80" t="s">
        <v>280</v>
      </c>
      <c r="F4" s="81" t="s">
        <v>45</v>
      </c>
    </row>
    <row r="5" ht="16" customHeight="1" spans="1:6" s="80" customFormat="1" x14ac:dyDescent="0.25">
      <c r="A5" s="80">
        <v>4</v>
      </c>
      <c r="B5" s="80" t="s">
        <v>57</v>
      </c>
      <c r="C5" s="80" t="s">
        <v>58</v>
      </c>
      <c r="D5" s="80" t="s">
        <v>52</v>
      </c>
      <c r="E5" s="80" t="s">
        <v>280</v>
      </c>
      <c r="F5" s="81" t="s">
        <v>45</v>
      </c>
    </row>
    <row r="6" ht="16" customHeight="1" spans="1:6" s="80" customFormat="1" x14ac:dyDescent="0.25">
      <c r="A6" s="80">
        <v>5</v>
      </c>
      <c r="B6" s="80" t="s">
        <v>59</v>
      </c>
      <c r="C6" s="80" t="s">
        <v>60</v>
      </c>
      <c r="D6" s="80" t="s">
        <v>52</v>
      </c>
      <c r="E6" s="80" t="s">
        <v>279</v>
      </c>
      <c r="F6" s="81" t="s">
        <v>45</v>
      </c>
    </row>
    <row r="7" ht="16" customHeight="1" spans="1:6" s="80" customFormat="1" x14ac:dyDescent="0.25">
      <c r="A7" s="80">
        <v>6</v>
      </c>
      <c r="B7" s="80" t="s">
        <v>61</v>
      </c>
      <c r="C7" s="80" t="s">
        <v>62</v>
      </c>
      <c r="D7" s="80" t="s">
        <v>52</v>
      </c>
      <c r="E7" s="80" t="s">
        <v>279</v>
      </c>
      <c r="F7" s="81" t="s">
        <v>45</v>
      </c>
    </row>
    <row r="8" ht="16" customHeight="1" spans="1:6" s="80" customFormat="1" x14ac:dyDescent="0.25">
      <c r="A8" s="80">
        <v>7</v>
      </c>
      <c r="B8" s="80" t="s">
        <v>63</v>
      </c>
      <c r="C8" s="80" t="s">
        <v>64</v>
      </c>
      <c r="D8" s="80" t="s">
        <v>52</v>
      </c>
      <c r="E8" s="80" t="s">
        <v>279</v>
      </c>
      <c r="F8" s="81" t="s">
        <v>45</v>
      </c>
    </row>
    <row r="9" ht="16" customHeight="1" spans="1:6" s="80" customFormat="1" x14ac:dyDescent="0.25">
      <c r="A9" s="80">
        <v>8</v>
      </c>
      <c r="B9" s="80" t="s">
        <v>65</v>
      </c>
      <c r="C9" s="80" t="s">
        <v>66</v>
      </c>
      <c r="D9" s="80" t="s">
        <v>52</v>
      </c>
      <c r="E9" s="80" t="s">
        <v>279</v>
      </c>
      <c r="F9" s="81" t="s">
        <v>45</v>
      </c>
    </row>
    <row r="10" ht="16" customHeight="1" spans="1:6" s="32" customFormat="1" x14ac:dyDescent="0.25">
      <c r="A10" s="32">
        <v>10</v>
      </c>
      <c r="B10" s="32" t="s">
        <v>430</v>
      </c>
      <c r="C10" s="32" t="s">
        <v>431</v>
      </c>
      <c r="D10" s="32" t="s">
        <v>72</v>
      </c>
      <c r="E10" s="32" t="s">
        <v>292</v>
      </c>
      <c r="F10" s="32" t="s">
        <v>221</v>
      </c>
    </row>
    <row r="11" ht="16" customHeight="1" spans="1:6" s="80" customFormat="1" x14ac:dyDescent="0.25">
      <c r="A11" s="80">
        <v>11</v>
      </c>
      <c r="B11" s="80" t="s">
        <v>67</v>
      </c>
      <c r="C11" s="80" t="s">
        <v>68</v>
      </c>
      <c r="D11" s="80" t="s">
        <v>69</v>
      </c>
      <c r="E11" s="80" t="s">
        <v>432</v>
      </c>
      <c r="F11" s="81" t="s">
        <v>45</v>
      </c>
    </row>
    <row r="12" ht="16" customHeight="1" spans="1:6" s="32" customFormat="1" x14ac:dyDescent="0.25">
      <c r="A12" s="32">
        <v>12</v>
      </c>
      <c r="B12" s="32" t="s">
        <v>433</v>
      </c>
      <c r="C12" s="32" t="s">
        <v>434</v>
      </c>
      <c r="D12" s="32" t="s">
        <v>72</v>
      </c>
      <c r="E12" s="32" t="s">
        <v>292</v>
      </c>
      <c r="F12" s="32" t="s">
        <v>221</v>
      </c>
    </row>
    <row r="13" ht="16" customHeight="1" spans="1:6" s="79" customFormat="1" x14ac:dyDescent="0.25">
      <c r="A13" s="79">
        <v>13</v>
      </c>
      <c r="B13" s="79" t="s">
        <v>435</v>
      </c>
      <c r="C13" s="79" t="s">
        <v>436</v>
      </c>
      <c r="D13" s="79" t="s">
        <v>69</v>
      </c>
      <c r="E13" s="79" t="s">
        <v>432</v>
      </c>
      <c r="F13" s="79" t="s">
        <v>221</v>
      </c>
    </row>
    <row r="14" ht="16" customHeight="1" spans="1:6" s="80" customFormat="1" x14ac:dyDescent="0.25">
      <c r="A14" s="80">
        <v>14</v>
      </c>
      <c r="B14" s="80" t="s">
        <v>70</v>
      </c>
      <c r="C14" s="80" t="s">
        <v>71</v>
      </c>
      <c r="D14" s="80" t="s">
        <v>72</v>
      </c>
      <c r="E14" s="80" t="s">
        <v>437</v>
      </c>
      <c r="F14" s="81" t="s">
        <v>45</v>
      </c>
    </row>
    <row r="15" ht="16" customHeight="1" spans="1:6" s="79" customFormat="1" x14ac:dyDescent="0.25">
      <c r="A15" s="79">
        <v>15</v>
      </c>
      <c r="B15" s="79" t="s">
        <v>438</v>
      </c>
      <c r="C15" s="79" t="s">
        <v>439</v>
      </c>
      <c r="D15" s="79" t="s">
        <v>69</v>
      </c>
      <c r="E15" s="79" t="s">
        <v>432</v>
      </c>
      <c r="F15" s="79" t="s">
        <v>221</v>
      </c>
    </row>
    <row r="16" ht="16" customHeight="1" spans="1:6" s="32" customFormat="1" x14ac:dyDescent="0.25">
      <c r="A16" s="32">
        <v>16</v>
      </c>
      <c r="B16" s="32" t="s">
        <v>440</v>
      </c>
      <c r="C16" s="32" t="s">
        <v>441</v>
      </c>
      <c r="D16" s="32" t="s">
        <v>72</v>
      </c>
      <c r="E16" s="32" t="s">
        <v>437</v>
      </c>
      <c r="F16" s="32" t="s">
        <v>221</v>
      </c>
    </row>
    <row r="17" ht="16" customHeight="1" spans="1:6" s="79" customFormat="1" x14ac:dyDescent="0.25">
      <c r="A17" s="79">
        <v>17</v>
      </c>
      <c r="B17" s="79" t="s">
        <v>442</v>
      </c>
      <c r="C17" s="79" t="s">
        <v>443</v>
      </c>
      <c r="D17" s="79" t="s">
        <v>69</v>
      </c>
      <c r="E17" s="79" t="s">
        <v>444</v>
      </c>
      <c r="F17" s="79" t="s">
        <v>221</v>
      </c>
    </row>
    <row r="18" ht="16" customHeight="1" spans="1:6" s="32" customFormat="1" x14ac:dyDescent="0.25">
      <c r="A18" s="32">
        <v>18</v>
      </c>
      <c r="B18" s="32" t="s">
        <v>445</v>
      </c>
      <c r="C18" s="32" t="s">
        <v>446</v>
      </c>
      <c r="D18" s="32" t="s">
        <v>72</v>
      </c>
      <c r="E18" s="32" t="s">
        <v>437</v>
      </c>
      <c r="F18" s="32" t="s">
        <v>221</v>
      </c>
    </row>
    <row r="19" ht="16" customHeight="1" spans="1:6" s="80" customFormat="1" x14ac:dyDescent="0.25">
      <c r="A19" s="80">
        <v>19</v>
      </c>
      <c r="B19" s="80" t="s">
        <v>73</v>
      </c>
      <c r="C19" s="80" t="s">
        <v>74</v>
      </c>
      <c r="D19" s="80" t="s">
        <v>69</v>
      </c>
      <c r="E19" s="80" t="s">
        <v>444</v>
      </c>
      <c r="F19" s="81" t="s">
        <v>45</v>
      </c>
    </row>
    <row r="20" ht="16" customHeight="1" spans="1:6" s="32" customFormat="1" x14ac:dyDescent="0.25">
      <c r="A20" s="32">
        <v>20</v>
      </c>
      <c r="B20" s="32" t="s">
        <v>447</v>
      </c>
      <c r="C20" s="32" t="s">
        <v>448</v>
      </c>
      <c r="D20" s="32" t="s">
        <v>72</v>
      </c>
      <c r="E20" s="32" t="s">
        <v>331</v>
      </c>
      <c r="F20" s="32" t="s">
        <v>221</v>
      </c>
    </row>
    <row r="21" ht="16" customHeight="1" spans="1:6" s="79" customFormat="1" x14ac:dyDescent="0.25">
      <c r="A21" s="79">
        <v>21</v>
      </c>
      <c r="B21" s="79" t="s">
        <v>449</v>
      </c>
      <c r="C21" s="79" t="s">
        <v>450</v>
      </c>
      <c r="D21" s="79" t="s">
        <v>69</v>
      </c>
      <c r="E21" s="79" t="s">
        <v>444</v>
      </c>
      <c r="F21" s="79" t="s">
        <v>221</v>
      </c>
    </row>
    <row r="22" ht="16" customHeight="1" spans="1:6" s="80" customFormat="1" x14ac:dyDescent="0.25">
      <c r="A22" s="80">
        <v>22</v>
      </c>
      <c r="B22" s="80" t="s">
        <v>75</v>
      </c>
      <c r="C22" s="80" t="s">
        <v>76</v>
      </c>
      <c r="D22" s="80" t="s">
        <v>72</v>
      </c>
      <c r="E22" s="80" t="s">
        <v>331</v>
      </c>
      <c r="F22" s="81" t="s">
        <v>45</v>
      </c>
    </row>
    <row r="23" ht="16" customHeight="1" spans="1:6" s="79" customFormat="1" x14ac:dyDescent="0.25">
      <c r="A23" s="79">
        <v>23</v>
      </c>
      <c r="B23" s="79" t="s">
        <v>451</v>
      </c>
      <c r="C23" s="79" t="s">
        <v>452</v>
      </c>
      <c r="D23" s="79" t="s">
        <v>69</v>
      </c>
      <c r="E23" s="79" t="s">
        <v>444</v>
      </c>
      <c r="F23" s="79" t="s">
        <v>221</v>
      </c>
    </row>
    <row r="24" ht="16" customHeight="1" spans="1:6" s="80" customFormat="1" x14ac:dyDescent="0.25">
      <c r="A24" s="80">
        <v>24</v>
      </c>
      <c r="B24" s="80" t="s">
        <v>77</v>
      </c>
      <c r="C24" s="80" t="s">
        <v>78</v>
      </c>
      <c r="D24" s="80" t="s">
        <v>72</v>
      </c>
      <c r="E24" s="80" t="s">
        <v>331</v>
      </c>
      <c r="F24" s="81" t="s">
        <v>45</v>
      </c>
    </row>
    <row r="25" ht="16" customHeight="1" spans="1:6" s="79" customFormat="1" x14ac:dyDescent="0.25">
      <c r="A25" s="79">
        <v>25</v>
      </c>
      <c r="B25" s="79" t="s">
        <v>453</v>
      </c>
      <c r="C25" s="79" t="s">
        <v>454</v>
      </c>
      <c r="D25" s="79" t="s">
        <v>69</v>
      </c>
      <c r="E25" s="79" t="s">
        <v>289</v>
      </c>
      <c r="F25" s="79" t="s">
        <v>221</v>
      </c>
    </row>
    <row r="26" ht="16" customHeight="1" spans="1:6" s="32" customFormat="1" x14ac:dyDescent="0.25">
      <c r="A26" s="32">
        <v>26</v>
      </c>
      <c r="B26" s="32" t="s">
        <v>455</v>
      </c>
      <c r="C26" s="32" t="s">
        <v>456</v>
      </c>
      <c r="D26" s="32" t="s">
        <v>72</v>
      </c>
      <c r="E26" s="32" t="s">
        <v>331</v>
      </c>
      <c r="F26" s="32" t="s">
        <v>221</v>
      </c>
    </row>
    <row r="27" ht="16" customHeight="1" spans="1:6" s="79" customFormat="1" x14ac:dyDescent="0.25">
      <c r="A27" s="79">
        <v>27</v>
      </c>
      <c r="B27" s="79" t="s">
        <v>457</v>
      </c>
      <c r="C27" s="79" t="s">
        <v>458</v>
      </c>
      <c r="D27" s="79" t="s">
        <v>69</v>
      </c>
      <c r="E27" s="79" t="s">
        <v>292</v>
      </c>
      <c r="F27" s="79" t="s">
        <v>221</v>
      </c>
    </row>
    <row r="28" ht="16" customHeight="1" spans="1:6" s="32" customFormat="1" x14ac:dyDescent="0.25">
      <c r="A28" s="32">
        <v>28</v>
      </c>
      <c r="B28" s="32" t="s">
        <v>459</v>
      </c>
      <c r="C28" s="32" t="s">
        <v>460</v>
      </c>
      <c r="D28" s="32" t="s">
        <v>72</v>
      </c>
      <c r="E28" s="32" t="s">
        <v>331</v>
      </c>
      <c r="F28" s="32" t="s">
        <v>221</v>
      </c>
    </row>
    <row r="29" ht="16" customHeight="1" spans="1:6" s="79" customFormat="1" x14ac:dyDescent="0.25">
      <c r="A29" s="79">
        <v>29</v>
      </c>
      <c r="B29" s="79" t="s">
        <v>461</v>
      </c>
      <c r="C29" s="79" t="s">
        <v>462</v>
      </c>
      <c r="D29" s="79" t="s">
        <v>72</v>
      </c>
      <c r="E29" s="79" t="s">
        <v>331</v>
      </c>
      <c r="F29" s="79" t="s">
        <v>221</v>
      </c>
    </row>
    <row r="30" ht="16" customHeight="1" spans="1:6" s="32" customFormat="1" x14ac:dyDescent="0.25">
      <c r="A30" s="32">
        <v>30</v>
      </c>
      <c r="B30" s="32" t="s">
        <v>463</v>
      </c>
      <c r="C30" s="32" t="s">
        <v>464</v>
      </c>
      <c r="D30" s="32" t="s">
        <v>72</v>
      </c>
      <c r="E30" s="32" t="s">
        <v>331</v>
      </c>
      <c r="F30" s="32" t="s">
        <v>221</v>
      </c>
    </row>
    <row r="31" ht="16" customHeight="1" spans="1:6" s="79" customFormat="1" x14ac:dyDescent="0.25">
      <c r="A31" s="79">
        <v>31</v>
      </c>
      <c r="B31" s="79" t="s">
        <v>465</v>
      </c>
      <c r="C31" s="79" t="s">
        <v>466</v>
      </c>
      <c r="D31" s="79" t="s">
        <v>72</v>
      </c>
      <c r="E31" s="79" t="s">
        <v>331</v>
      </c>
      <c r="F31" s="79" t="s">
        <v>221</v>
      </c>
    </row>
    <row r="32" ht="16" customHeight="1" spans="1:6" s="32" customFormat="1" x14ac:dyDescent="0.25">
      <c r="A32" s="32">
        <v>32</v>
      </c>
      <c r="B32" s="32" t="s">
        <v>467</v>
      </c>
      <c r="C32" s="32" t="s">
        <v>468</v>
      </c>
      <c r="D32" s="32" t="s">
        <v>69</v>
      </c>
      <c r="E32" s="32" t="s">
        <v>292</v>
      </c>
      <c r="F32" s="32" t="s">
        <v>221</v>
      </c>
    </row>
    <row r="33" ht="16" customHeight="1" spans="1:6" s="79" customFormat="1" x14ac:dyDescent="0.25">
      <c r="A33" s="79">
        <v>33</v>
      </c>
      <c r="B33" s="79" t="s">
        <v>469</v>
      </c>
      <c r="C33" s="79" t="s">
        <v>470</v>
      </c>
      <c r="D33" s="79" t="s">
        <v>72</v>
      </c>
      <c r="E33" s="79" t="s">
        <v>352</v>
      </c>
      <c r="F33" s="79" t="s">
        <v>221</v>
      </c>
    </row>
    <row r="34" ht="16" customHeight="1" spans="1:6" s="32" customFormat="1" x14ac:dyDescent="0.25">
      <c r="A34" s="32">
        <v>34</v>
      </c>
      <c r="B34" s="32" t="s">
        <v>471</v>
      </c>
      <c r="C34" s="32" t="s">
        <v>472</v>
      </c>
      <c r="D34" s="32" t="s">
        <v>69</v>
      </c>
      <c r="E34" s="32" t="s">
        <v>292</v>
      </c>
      <c r="F34" s="32" t="s">
        <v>221</v>
      </c>
    </row>
    <row r="35" ht="16" customHeight="1" spans="1:6" s="79" customFormat="1" x14ac:dyDescent="0.25">
      <c r="A35" s="79">
        <v>35</v>
      </c>
      <c r="B35" s="79" t="s">
        <v>473</v>
      </c>
      <c r="C35" s="79" t="s">
        <v>474</v>
      </c>
      <c r="D35" s="79" t="s">
        <v>72</v>
      </c>
      <c r="E35" s="79" t="s">
        <v>475</v>
      </c>
      <c r="F35" s="79" t="s">
        <v>221</v>
      </c>
    </row>
    <row r="36" ht="16" customHeight="1" spans="1:6" s="32" customFormat="1" x14ac:dyDescent="0.25">
      <c r="A36" s="32">
        <v>36</v>
      </c>
      <c r="B36" s="32" t="s">
        <v>476</v>
      </c>
      <c r="C36" s="32" t="s">
        <v>477</v>
      </c>
      <c r="D36" s="32" t="s">
        <v>69</v>
      </c>
      <c r="E36" s="32" t="s">
        <v>292</v>
      </c>
      <c r="F36" s="32" t="s">
        <v>221</v>
      </c>
    </row>
    <row r="37" ht="16" customHeight="1" spans="1:6" s="79" customFormat="1" x14ac:dyDescent="0.25">
      <c r="A37" s="79">
        <v>37</v>
      </c>
      <c r="B37" s="79" t="s">
        <v>478</v>
      </c>
      <c r="C37" s="79" t="s">
        <v>479</v>
      </c>
      <c r="D37" s="79" t="s">
        <v>72</v>
      </c>
      <c r="E37" s="79" t="s">
        <v>475</v>
      </c>
      <c r="F37" s="79" t="s">
        <v>221</v>
      </c>
    </row>
    <row r="38" ht="16" customHeight="1" spans="1:6" s="32" customFormat="1" x14ac:dyDescent="0.25">
      <c r="A38" s="32">
        <v>38</v>
      </c>
      <c r="B38" s="32" t="s">
        <v>480</v>
      </c>
      <c r="C38" s="32" t="s">
        <v>481</v>
      </c>
      <c r="D38" s="32" t="s">
        <v>69</v>
      </c>
      <c r="E38" s="32" t="s">
        <v>292</v>
      </c>
      <c r="F38" s="32" t="s">
        <v>221</v>
      </c>
    </row>
    <row r="39" ht="16" customHeight="1" spans="1:6" s="79" customFormat="1" x14ac:dyDescent="0.25">
      <c r="A39" s="79">
        <v>39</v>
      </c>
      <c r="B39" s="79" t="s">
        <v>482</v>
      </c>
      <c r="C39" s="79" t="s">
        <v>483</v>
      </c>
      <c r="D39" s="79" t="s">
        <v>72</v>
      </c>
      <c r="E39" s="79" t="s">
        <v>475</v>
      </c>
      <c r="F39" s="79" t="s">
        <v>221</v>
      </c>
    </row>
    <row r="40" ht="16" customHeight="1" spans="1:6" s="80" customFormat="1" x14ac:dyDescent="0.25">
      <c r="A40" s="80">
        <v>40</v>
      </c>
      <c r="B40" s="80" t="s">
        <v>79</v>
      </c>
      <c r="C40" s="80" t="s">
        <v>80</v>
      </c>
      <c r="D40" s="80" t="s">
        <v>69</v>
      </c>
      <c r="E40" s="80" t="s">
        <v>484</v>
      </c>
      <c r="F40" s="81" t="s">
        <v>45</v>
      </c>
    </row>
    <row r="41" ht="16" customHeight="1" spans="1:6" s="79" customFormat="1" x14ac:dyDescent="0.25">
      <c r="A41" s="79">
        <v>41</v>
      </c>
      <c r="B41" s="79" t="s">
        <v>485</v>
      </c>
      <c r="C41" s="79" t="s">
        <v>486</v>
      </c>
      <c r="D41" s="79" t="s">
        <v>72</v>
      </c>
      <c r="E41" s="79" t="s">
        <v>475</v>
      </c>
      <c r="F41" s="79" t="s">
        <v>221</v>
      </c>
    </row>
    <row r="42" ht="16" customHeight="1" spans="1:6" s="32" customFormat="1" x14ac:dyDescent="0.25">
      <c r="A42" s="32">
        <v>42</v>
      </c>
      <c r="B42" s="32" t="s">
        <v>487</v>
      </c>
      <c r="C42" s="32" t="s">
        <v>488</v>
      </c>
      <c r="D42" s="32" t="s">
        <v>69</v>
      </c>
      <c r="E42" s="32" t="s">
        <v>331</v>
      </c>
      <c r="F42" s="32" t="s">
        <v>221</v>
      </c>
    </row>
    <row r="43" ht="16" customHeight="1" spans="1:6" s="79" customFormat="1" x14ac:dyDescent="0.25">
      <c r="A43" s="79">
        <v>43</v>
      </c>
      <c r="B43" s="79" t="s">
        <v>489</v>
      </c>
      <c r="C43" s="79" t="s">
        <v>490</v>
      </c>
      <c r="D43" s="79" t="s">
        <v>72</v>
      </c>
      <c r="E43" s="79" t="s">
        <v>475</v>
      </c>
      <c r="F43" s="79" t="s">
        <v>221</v>
      </c>
    </row>
    <row r="44" ht="16" customHeight="1" spans="1:6" s="32" customFormat="1" x14ac:dyDescent="0.25">
      <c r="A44" s="32">
        <v>44</v>
      </c>
      <c r="B44" s="32" t="s">
        <v>491</v>
      </c>
      <c r="C44" s="32" t="s">
        <v>492</v>
      </c>
      <c r="D44" s="32" t="s">
        <v>69</v>
      </c>
      <c r="E44" s="32" t="s">
        <v>331</v>
      </c>
      <c r="F44" s="32" t="s">
        <v>221</v>
      </c>
    </row>
    <row r="45" ht="16" customHeight="1" spans="1:6" s="79" customFormat="1" x14ac:dyDescent="0.25">
      <c r="A45" s="79">
        <v>45</v>
      </c>
      <c r="B45" s="79" t="s">
        <v>493</v>
      </c>
      <c r="C45" s="79" t="s">
        <v>494</v>
      </c>
      <c r="D45" s="79" t="s">
        <v>72</v>
      </c>
      <c r="E45" s="79" t="s">
        <v>475</v>
      </c>
      <c r="F45" s="79" t="s">
        <v>221</v>
      </c>
    </row>
    <row r="46" ht="16" customHeight="1" spans="1:6" s="32" customFormat="1" x14ac:dyDescent="0.25">
      <c r="A46" s="32">
        <v>46</v>
      </c>
      <c r="B46" s="32" t="s">
        <v>495</v>
      </c>
      <c r="C46" s="32" t="s">
        <v>496</v>
      </c>
      <c r="D46" s="32" t="s">
        <v>69</v>
      </c>
      <c r="E46" s="32" t="s">
        <v>497</v>
      </c>
      <c r="F46" s="32" t="s">
        <v>221</v>
      </c>
    </row>
    <row r="47" ht="16" customHeight="1" spans="1:6" s="79" customFormat="1" x14ac:dyDescent="0.25">
      <c r="A47" s="79">
        <v>47</v>
      </c>
      <c r="B47" s="79" t="s">
        <v>498</v>
      </c>
      <c r="C47" s="79" t="s">
        <v>499</v>
      </c>
      <c r="D47" s="79" t="s">
        <v>72</v>
      </c>
      <c r="E47" s="79" t="s">
        <v>371</v>
      </c>
      <c r="F47" s="79" t="s">
        <v>221</v>
      </c>
    </row>
    <row r="48" ht="16" customHeight="1" spans="1:6" s="32" customFormat="1" x14ac:dyDescent="0.25">
      <c r="A48" s="32">
        <v>48</v>
      </c>
      <c r="B48" s="32" t="s">
        <v>500</v>
      </c>
      <c r="C48" s="32" t="s">
        <v>501</v>
      </c>
      <c r="D48" s="32" t="s">
        <v>69</v>
      </c>
      <c r="E48" s="32" t="s">
        <v>497</v>
      </c>
      <c r="F48" s="32" t="s">
        <v>221</v>
      </c>
    </row>
    <row r="49" ht="16" customHeight="1" spans="1:6" s="79" customFormat="1" x14ac:dyDescent="0.25">
      <c r="A49" s="79">
        <v>49</v>
      </c>
      <c r="B49" s="79" t="s">
        <v>502</v>
      </c>
      <c r="C49" s="79" t="s">
        <v>503</v>
      </c>
      <c r="D49" s="79" t="s">
        <v>72</v>
      </c>
      <c r="E49" s="79" t="s">
        <v>371</v>
      </c>
      <c r="F49" s="79" t="s">
        <v>221</v>
      </c>
    </row>
    <row r="50" ht="16" customHeight="1" spans="1:6" s="80" customFormat="1" x14ac:dyDescent="0.25">
      <c r="A50" s="80">
        <v>50</v>
      </c>
      <c r="B50" s="80" t="s">
        <v>81</v>
      </c>
      <c r="C50" s="80" t="s">
        <v>82</v>
      </c>
      <c r="D50" s="80" t="s">
        <v>69</v>
      </c>
      <c r="E50" s="80" t="s">
        <v>497</v>
      </c>
      <c r="F50" s="81" t="s">
        <v>45</v>
      </c>
    </row>
    <row r="51" ht="16" customHeight="1" spans="1:6" s="79" customFormat="1" x14ac:dyDescent="0.25">
      <c r="A51" s="79">
        <v>51</v>
      </c>
      <c r="B51" s="79" t="s">
        <v>504</v>
      </c>
      <c r="C51" s="79" t="s">
        <v>505</v>
      </c>
      <c r="D51" s="79" t="s">
        <v>72</v>
      </c>
      <c r="E51" s="79" t="s">
        <v>371</v>
      </c>
      <c r="F51" s="79" t="s">
        <v>221</v>
      </c>
    </row>
    <row r="52" ht="16" customHeight="1" spans="1:6" s="32" customFormat="1" x14ac:dyDescent="0.25">
      <c r="A52" s="32">
        <v>52</v>
      </c>
      <c r="B52" s="32" t="s">
        <v>506</v>
      </c>
      <c r="C52" s="32" t="s">
        <v>507</v>
      </c>
      <c r="D52" s="32" t="s">
        <v>69</v>
      </c>
      <c r="E52" s="32" t="s">
        <v>497</v>
      </c>
      <c r="F52" s="32" t="s">
        <v>221</v>
      </c>
    </row>
    <row r="53" ht="16" customHeight="1" spans="1:6" s="79" customFormat="1" x14ac:dyDescent="0.25">
      <c r="A53" s="79">
        <v>53</v>
      </c>
      <c r="B53" s="79" t="s">
        <v>508</v>
      </c>
      <c r="C53" s="79" t="s">
        <v>509</v>
      </c>
      <c r="D53" s="79" t="s">
        <v>72</v>
      </c>
      <c r="E53" s="79" t="s">
        <v>371</v>
      </c>
      <c r="F53" s="79" t="s">
        <v>221</v>
      </c>
    </row>
    <row r="54" ht="16" customHeight="1" spans="1:6" s="32" customFormat="1" x14ac:dyDescent="0.25">
      <c r="A54" s="32">
        <v>54</v>
      </c>
      <c r="B54" s="32" t="s">
        <v>510</v>
      </c>
      <c r="C54" s="32" t="s">
        <v>511</v>
      </c>
      <c r="D54" s="32" t="s">
        <v>69</v>
      </c>
      <c r="E54" s="32" t="s">
        <v>405</v>
      </c>
      <c r="F54" s="32" t="s">
        <v>221</v>
      </c>
    </row>
    <row r="55" ht="16" customHeight="1" spans="1:6" s="79" customFormat="1" x14ac:dyDescent="0.25">
      <c r="A55" s="79">
        <v>55</v>
      </c>
      <c r="B55" s="79" t="s">
        <v>512</v>
      </c>
      <c r="C55" s="79" t="s">
        <v>513</v>
      </c>
      <c r="D55" s="79" t="s">
        <v>72</v>
      </c>
      <c r="E55" s="79" t="s">
        <v>399</v>
      </c>
      <c r="F55" s="79" t="s">
        <v>221</v>
      </c>
    </row>
    <row r="56" ht="16" customHeight="1" spans="1:6" s="32" customFormat="1" x14ac:dyDescent="0.25">
      <c r="A56" s="32">
        <v>56</v>
      </c>
      <c r="B56" s="32" t="s">
        <v>514</v>
      </c>
      <c r="C56" s="32" t="s">
        <v>515</v>
      </c>
      <c r="D56" s="32" t="s">
        <v>69</v>
      </c>
      <c r="E56" s="32" t="s">
        <v>405</v>
      </c>
      <c r="F56" s="32" t="s">
        <v>221</v>
      </c>
    </row>
  </sheetData>
  <autoFilter ref="A1:F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2" customWidth="1"/>
    <col min="3" max="3" width="10" customWidth="1"/>
    <col min="4" max="4" width="16" customWidth="1"/>
  </cols>
  <sheetData>
    <row r="1" ht="18" customHeight="1" spans="1:4" s="84" customFormat="1" x14ac:dyDescent="0.25">
      <c r="A1" s="84" t="s">
        <v>46</v>
      </c>
      <c r="B1" s="84" t="s">
        <v>47</v>
      </c>
      <c r="C1" s="84" t="s">
        <v>48</v>
      </c>
      <c r="D1" s="84" t="s">
        <v>516</v>
      </c>
    </row>
    <row r="2" spans="1:4" x14ac:dyDescent="0.25">
      <c r="A2" s="85" t="s">
        <v>59</v>
      </c>
      <c r="B2" s="85" t="s">
        <v>517</v>
      </c>
      <c r="C2" s="85" t="s">
        <v>518</v>
      </c>
      <c r="D2" s="86">
        <v>2884</v>
      </c>
    </row>
    <row r="3" spans="1:4" x14ac:dyDescent="0.25">
      <c r="A3" s="87" t="s">
        <v>61</v>
      </c>
      <c r="B3" s="87" t="s">
        <v>519</v>
      </c>
      <c r="C3" s="87" t="s">
        <v>518</v>
      </c>
      <c r="D3" s="88">
        <v>1262</v>
      </c>
    </row>
    <row r="4" spans="1:4" x14ac:dyDescent="0.25">
      <c r="A4" s="85" t="s">
        <v>50</v>
      </c>
      <c r="B4" s="85" t="s">
        <v>520</v>
      </c>
      <c r="C4" s="85" t="s">
        <v>518</v>
      </c>
      <c r="D4" s="86">
        <v>632</v>
      </c>
    </row>
    <row r="5" spans="1:4" x14ac:dyDescent="0.25">
      <c r="A5" s="87" t="s">
        <v>55</v>
      </c>
      <c r="B5" s="87" t="s">
        <v>521</v>
      </c>
      <c r="C5" s="87" t="s">
        <v>518</v>
      </c>
      <c r="D5" s="88">
        <v>492</v>
      </c>
    </row>
    <row r="6" spans="1:4" x14ac:dyDescent="0.25">
      <c r="A6" s="85" t="s">
        <v>53</v>
      </c>
      <c r="B6" s="85" t="s">
        <v>522</v>
      </c>
      <c r="C6" s="85" t="s">
        <v>518</v>
      </c>
      <c r="D6" s="86">
        <v>362</v>
      </c>
    </row>
    <row r="7" spans="1:4" x14ac:dyDescent="0.25">
      <c r="A7" s="87" t="s">
        <v>65</v>
      </c>
      <c r="B7" s="87" t="s">
        <v>523</v>
      </c>
      <c r="C7" s="87" t="s">
        <v>518</v>
      </c>
      <c r="D7" s="88">
        <v>327</v>
      </c>
    </row>
    <row r="8" spans="1:4" x14ac:dyDescent="0.25">
      <c r="A8" s="85" t="s">
        <v>63</v>
      </c>
      <c r="B8" s="85" t="s">
        <v>524</v>
      </c>
      <c r="C8" s="85" t="s">
        <v>518</v>
      </c>
      <c r="D8" s="86">
        <v>327</v>
      </c>
    </row>
    <row r="9" spans="1:4" x14ac:dyDescent="0.25">
      <c r="A9" s="87" t="s">
        <v>525</v>
      </c>
      <c r="B9" s="87" t="s">
        <v>526</v>
      </c>
      <c r="C9" s="87" t="s">
        <v>527</v>
      </c>
      <c r="D9" s="88">
        <v>250</v>
      </c>
    </row>
    <row r="10" spans="1:4" x14ac:dyDescent="0.25">
      <c r="A10" s="85" t="s">
        <v>57</v>
      </c>
      <c r="B10" s="85" t="s">
        <v>528</v>
      </c>
      <c r="C10" s="85" t="s">
        <v>518</v>
      </c>
      <c r="D10" s="86">
        <v>247</v>
      </c>
    </row>
    <row r="11" spans="1:4" x14ac:dyDescent="0.25">
      <c r="A11" s="87" t="s">
        <v>529</v>
      </c>
      <c r="B11" s="87" t="s">
        <v>530</v>
      </c>
      <c r="C11" s="87" t="s">
        <v>527</v>
      </c>
      <c r="D11" s="88">
        <v>220</v>
      </c>
    </row>
    <row r="12" spans="1:4" x14ac:dyDescent="0.25">
      <c r="A12" s="85" t="s">
        <v>531</v>
      </c>
      <c r="B12" s="85" t="s">
        <v>532</v>
      </c>
      <c r="C12" s="85" t="s">
        <v>527</v>
      </c>
      <c r="D12" s="86">
        <v>220</v>
      </c>
    </row>
    <row r="13" spans="1:4" x14ac:dyDescent="0.25">
      <c r="A13" s="87" t="s">
        <v>533</v>
      </c>
      <c r="B13" s="87" t="s">
        <v>534</v>
      </c>
      <c r="C13" s="87" t="s">
        <v>527</v>
      </c>
      <c r="D13" s="88">
        <v>200</v>
      </c>
    </row>
    <row r="14" spans="1:4" x14ac:dyDescent="0.25">
      <c r="A14" s="85" t="s">
        <v>535</v>
      </c>
      <c r="B14" s="85" t="s">
        <v>536</v>
      </c>
      <c r="C14" s="85" t="s">
        <v>527</v>
      </c>
      <c r="D14" s="86">
        <v>150</v>
      </c>
    </row>
    <row r="15" spans="1:4" x14ac:dyDescent="0.25">
      <c r="A15" s="87" t="s">
        <v>537</v>
      </c>
      <c r="B15" s="87" t="s">
        <v>538</v>
      </c>
      <c r="C15" s="87" t="s">
        <v>527</v>
      </c>
      <c r="D15" s="88">
        <v>110</v>
      </c>
    </row>
    <row r="16" spans="1:4" x14ac:dyDescent="0.25">
      <c r="A16" s="85" t="s">
        <v>539</v>
      </c>
      <c r="B16" s="85" t="s">
        <v>540</v>
      </c>
      <c r="C16" s="85" t="s">
        <v>527</v>
      </c>
      <c r="D16" s="86">
        <v>100</v>
      </c>
    </row>
    <row r="17" spans="1:4" x14ac:dyDescent="0.25">
      <c r="A17" s="87" t="s">
        <v>541</v>
      </c>
      <c r="B17" s="87" t="s">
        <v>542</v>
      </c>
      <c r="C17" s="87" t="s">
        <v>527</v>
      </c>
      <c r="D17" s="88">
        <v>90</v>
      </c>
    </row>
    <row r="18" spans="1:4" s="89" customFormat="1" x14ac:dyDescent="0.25">
      <c r="A18" s="89" t="s">
        <v>221</v>
      </c>
      <c r="B18" s="89" t="s">
        <v>543</v>
      </c>
      <c r="C18" s="89" t="s">
        <v>221</v>
      </c>
      <c r="D18" s="90">
        <v>7873</v>
      </c>
    </row>
  </sheetData>
  <autoFilter ref="A1:D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42" customWidth="1"/>
    <col min="3" max="3" width="18" customWidth="1"/>
    <col min="4" max="4" width="12" customWidth="1"/>
    <col min="5" max="5" width="16" customWidth="1"/>
  </cols>
  <sheetData>
    <row r="1" ht="18" customHeight="1" spans="1:5" s="91" customFormat="1" x14ac:dyDescent="0.25">
      <c r="A1" s="91" t="s">
        <v>46</v>
      </c>
      <c r="B1" s="91" t="s">
        <v>47</v>
      </c>
      <c r="C1" s="91" t="s">
        <v>544</v>
      </c>
      <c r="D1" s="91" t="s">
        <v>545</v>
      </c>
      <c r="E1" s="91" t="s">
        <v>546</v>
      </c>
    </row>
    <row r="2" spans="1:5" x14ac:dyDescent="0.25">
      <c r="A2" s="92" t="s">
        <v>395</v>
      </c>
      <c r="B2" s="92" t="s">
        <v>547</v>
      </c>
      <c r="C2" s="93">
        <v>13</v>
      </c>
      <c r="D2" s="94">
        <v>56.8</v>
      </c>
      <c r="E2" s="95">
        <v>0.23</v>
      </c>
    </row>
    <row r="3" spans="1:5" x14ac:dyDescent="0.25">
      <c r="A3" s="96" t="s">
        <v>533</v>
      </c>
      <c r="B3" s="96" t="s">
        <v>534</v>
      </c>
      <c r="C3" s="97">
        <v>2</v>
      </c>
      <c r="D3" s="98">
        <v>1.9</v>
      </c>
      <c r="E3" s="99">
        <v>1.03</v>
      </c>
    </row>
    <row r="4" spans="1:5" x14ac:dyDescent="0.25">
      <c r="A4" s="96" t="s">
        <v>297</v>
      </c>
      <c r="B4" s="96" t="s">
        <v>548</v>
      </c>
      <c r="C4" s="97">
        <v>7</v>
      </c>
      <c r="D4" s="98">
        <v>6.7</v>
      </c>
      <c r="E4" s="99">
        <v>1.04</v>
      </c>
    </row>
    <row r="5" spans="1:5" x14ac:dyDescent="0.25">
      <c r="A5" s="96" t="s">
        <v>400</v>
      </c>
      <c r="B5" s="96" t="s">
        <v>549</v>
      </c>
      <c r="C5" s="97">
        <v>58</v>
      </c>
      <c r="D5" s="98">
        <v>43.6</v>
      </c>
      <c r="E5" s="99">
        <v>1.33</v>
      </c>
    </row>
    <row r="6" spans="1:5" x14ac:dyDescent="0.25">
      <c r="A6" s="96" t="s">
        <v>397</v>
      </c>
      <c r="B6" s="96" t="s">
        <v>550</v>
      </c>
      <c r="C6" s="97">
        <v>75</v>
      </c>
      <c r="D6" s="98">
        <v>45.8</v>
      </c>
      <c r="E6" s="99">
        <v>1.64</v>
      </c>
    </row>
    <row r="7" spans="1:5" x14ac:dyDescent="0.25">
      <c r="A7" s="96" t="s">
        <v>378</v>
      </c>
      <c r="B7" s="96" t="s">
        <v>551</v>
      </c>
      <c r="C7" s="97">
        <v>48</v>
      </c>
      <c r="D7" s="98">
        <v>20.5</v>
      </c>
      <c r="E7" s="99">
        <v>2.34</v>
      </c>
    </row>
    <row r="8" spans="1:5" x14ac:dyDescent="0.25">
      <c r="A8" s="96" t="s">
        <v>387</v>
      </c>
      <c r="B8" s="96" t="s">
        <v>552</v>
      </c>
      <c r="C8" s="97">
        <v>146</v>
      </c>
      <c r="D8" s="98">
        <v>60.1</v>
      </c>
      <c r="E8" s="99">
        <v>2.43</v>
      </c>
    </row>
    <row r="9" spans="1:5" x14ac:dyDescent="0.25">
      <c r="A9" s="96" t="s">
        <v>329</v>
      </c>
      <c r="B9" s="96" t="s">
        <v>553</v>
      </c>
      <c r="C9" s="97">
        <v>94</v>
      </c>
      <c r="D9" s="98">
        <v>37</v>
      </c>
      <c r="E9" s="99">
        <v>2.54</v>
      </c>
    </row>
    <row r="10" spans="1:5" x14ac:dyDescent="0.25">
      <c r="A10" s="96" t="s">
        <v>350</v>
      </c>
      <c r="B10" s="96" t="s">
        <v>554</v>
      </c>
      <c r="C10" s="97">
        <v>101</v>
      </c>
      <c r="D10" s="98">
        <v>37</v>
      </c>
      <c r="E10" s="99">
        <v>2.73</v>
      </c>
    </row>
    <row r="11" spans="1:5" x14ac:dyDescent="0.25">
      <c r="A11" s="96" t="s">
        <v>353</v>
      </c>
      <c r="B11" s="96" t="s">
        <v>555</v>
      </c>
      <c r="C11" s="97">
        <v>101</v>
      </c>
      <c r="D11" s="98">
        <v>37</v>
      </c>
      <c r="E11" s="99">
        <v>2.73</v>
      </c>
    </row>
    <row r="12" spans="1:5" x14ac:dyDescent="0.25">
      <c r="A12" s="96" t="s">
        <v>334</v>
      </c>
      <c r="B12" s="96" t="s">
        <v>556</v>
      </c>
      <c r="C12" s="97">
        <v>134</v>
      </c>
      <c r="D12" s="98">
        <v>46.5</v>
      </c>
      <c r="E12" s="99">
        <v>2.88</v>
      </c>
    </row>
  </sheetData>
  <autoFilter ref="A1:E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MAHSAN דגים</vt:lpstr>
      <vt:lpstr>MAHSAN חלבי</vt:lpstr>
      <vt:lpstr>MAHSAN 8 קפוא</vt:lpstr>
      <vt:lpstr>סדר קפוא</vt:lpstr>
      <vt:lpstr>סדר חלבי</vt:lpstr>
      <vt:lpstr>סדר דגים</vt:lpstr>
      <vt:lpstr>מחסן מעבר Trn</vt:lpstr>
      <vt:lpstr>מחסן צפון Zafn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 Sverdlik</dc:creator>
  <cp:lastModifiedBy>Dan Sverdlik</cp:lastModifiedBy>
  <dcterms:created xsi:type="dcterms:W3CDTF">2026-05-10T11:52:28Z</dcterms:created>
  <dcterms:modified xsi:type="dcterms:W3CDTF">2026-05-11T14:35:32Z</dcterms:modified>
</cp:coreProperties>
</file>